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chedule" sheetId="1" state="visible" r:id="rId1"/>
    <sheet xmlns:r="http://schemas.openxmlformats.org/officeDocument/2006/relationships" name="Lesson Log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Week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 d, yyyy"/>
    <numFmt numFmtId="166" formatCode="m/d"/>
    <numFmt numFmtId="167" formatCode="m/d/yyyy"/>
    <numFmt numFmtId="168" formatCode="&quot;$&quot;#,##0.0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  <sz val="9"/>
    </font>
    <font>
      <b val="1"/>
      <color rgb="00FFFFFF"/>
    </font>
    <font>
      <b val="1"/>
      <color rgb="001F3A5F"/>
    </font>
    <font>
      <color rgb="001F3A5F"/>
    </font>
    <font>
      <b val="1"/>
      <color rgb="001F3A5F"/>
      <sz val="12"/>
    </font>
    <font>
      <i val="1"/>
      <color rgb="00666666"/>
    </font>
    <font>
      <b val="1"/>
      <color rgb="00FFFFFF"/>
      <sz val="14"/>
    </font>
  </fonts>
  <fills count="1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FF9E0"/>
        <bgColor rgb="00FFF9E0"/>
      </patternFill>
    </fill>
    <fill>
      <patternFill patternType="solid">
        <fgColor rgb="00F2C14E"/>
        <bgColor rgb="00F2C14E"/>
      </patternFill>
    </fill>
    <fill>
      <patternFill patternType="solid">
        <fgColor rgb="00EEF2F7"/>
        <bgColor rgb="00EEF2F7"/>
      </patternFill>
    </fill>
    <fill>
      <patternFill patternType="solid">
        <fgColor rgb="00D6E9FF"/>
        <bgColor rgb="00D6E9FF"/>
      </patternFill>
    </fill>
    <fill>
      <patternFill patternType="solid">
        <fgColor rgb="00FFE0D6"/>
        <bgColor rgb="00FFE0D6"/>
      </patternFill>
    </fill>
    <fill>
      <patternFill patternType="solid">
        <fgColor rgb="00E3F5DA"/>
        <bgColor rgb="00E3F5DA"/>
      </patternFill>
    </fill>
    <fill>
      <patternFill patternType="solid">
        <fgColor rgb="00FFF4C7"/>
        <bgColor rgb="00FFF4C7"/>
      </patternFill>
    </fill>
    <fill>
      <patternFill patternType="solid">
        <fgColor rgb="00EADCF8"/>
        <bgColor rgb="00EADCF8"/>
      </patternFill>
    </fill>
    <fill>
      <patternFill patternType="solid">
        <fgColor rgb="00D9F2F2"/>
        <bgColor rgb="00D9F2F2"/>
      </patternFill>
    </fill>
    <fill>
      <patternFill patternType="solid">
        <fgColor rgb="00D9D9D9"/>
        <bgColor rgb="00D9D9D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5" fontId="2" fillId="3" borderId="1" pivotButton="0" quotePrefix="0" xfId="0"/>
    <xf numFmtId="0" fontId="2" fillId="0" borderId="0" applyAlignment="1" pivotButton="0" quotePrefix="0" xfId="0">
      <alignment horizontal="right"/>
    </xf>
    <xf numFmtId="0" fontId="0" fillId="3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center" vertical="center" wrapText="1"/>
    </xf>
    <xf numFmtId="0" fontId="0" fillId="6" borderId="1" pivotButton="0" quotePrefix="0" xfId="0"/>
    <xf numFmtId="18" fontId="5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pivotButton="0" quotePrefix="0" xfId="0"/>
    <xf numFmtId="18" fontId="6" fillId="5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7" fillId="0" borderId="0" applyAlignment="1" pivotButton="0" quotePrefix="0" xfId="0">
      <alignment horizontal="center" vertical="center" wrapText="1"/>
    </xf>
    <xf numFmtId="167" fontId="0" fillId="13" borderId="1" pivotButton="0" quotePrefix="0" xfId="0"/>
    <xf numFmtId="0" fontId="0" fillId="13" borderId="1" pivotButton="0" quotePrefix="0" xfId="0"/>
    <xf numFmtId="18" fontId="0" fillId="13" borderId="1" pivotButton="0" quotePrefix="0" xfId="0"/>
    <xf numFmtId="168" fontId="0" fillId="13" borderId="1" pivotButton="0" quotePrefix="0" xfId="0"/>
    <xf numFmtId="167" fontId="0" fillId="0" borderId="1" pivotButton="0" quotePrefix="0" xfId="0"/>
    <xf numFmtId="0" fontId="0" fillId="0" borderId="1" pivotButton="0" quotePrefix="0" xfId="0"/>
    <xf numFmtId="18" fontId="0" fillId="0" borderId="1" pivotButton="0" quotePrefix="0" xfId="0"/>
    <xf numFmtId="168" fontId="0" fillId="0" borderId="1" pivotButton="0" quotePrefix="0" xfId="0"/>
    <xf numFmtId="0" fontId="8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1" applyAlignment="1" pivotButton="0" quotePrefix="0" xfId="0">
      <alignment horizontal="center" vertical="center" wrapText="1"/>
    </xf>
    <xf numFmtId="168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8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9">
    <dxf>
      <fill>
        <patternFill patternType="solid">
          <fgColor rgb="00D6E9FF"/>
          <bgColor rgb="00D6E9FF"/>
        </patternFill>
      </fill>
    </dxf>
    <dxf>
      <fill>
        <patternFill patternType="solid">
          <fgColor rgb="00FFE0D6"/>
          <bgColor rgb="00FFE0D6"/>
        </patternFill>
      </fill>
    </dxf>
    <dxf>
      <fill>
        <patternFill patternType="solid">
          <fgColor rgb="00E3F5DA"/>
          <bgColor rgb="00E3F5DA"/>
        </patternFill>
      </fill>
    </dxf>
    <dxf>
      <fill>
        <patternFill patternType="solid">
          <fgColor rgb="00FFF4C7"/>
          <bgColor rgb="00FFF4C7"/>
        </patternFill>
      </fill>
    </dxf>
    <dxf>
      <fill>
        <patternFill patternType="solid">
          <fgColor rgb="00EADCF8"/>
          <bgColor rgb="00EADCF8"/>
        </patternFill>
      </fill>
    </dxf>
    <dxf>
      <fill>
        <patternFill patternType="solid">
          <fgColor rgb="00D9F2F2"/>
          <bgColor rgb="00D9F2F2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FCDCDC"/>
          <bgColor rgb="00FCDCDC"/>
        </patternFill>
      </fill>
    </dxf>
    <dxf>
      <fill>
        <patternFill patternType="solid">
          <fgColor rgb="00DFF3DF"/>
          <bgColor rgb="00DFF3D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" customWidth="1" min="9" max="9"/>
    <col width="30" customWidth="1" min="10" max="10"/>
  </cols>
  <sheetData>
    <row r="1" ht="34" customHeight="1">
      <c r="A1" s="1" t="inlineStr">
        <is>
          <t>COAST TO CORN — WEEKLY LESSON SCHEDULE</t>
        </is>
      </c>
    </row>
    <row r="2">
      <c r="A2" s="2" t="inlineStr">
        <is>
          <t>Week of (Mon):</t>
        </is>
      </c>
      <c r="B2" s="3" t="n">
        <v>46321</v>
      </c>
      <c r="C2" s="4" t="inlineStr">
        <is>
          <t>Coach:</t>
        </is>
      </c>
      <c r="D2" s="5" t="n"/>
      <c r="E2" s="6" t="inlineStr">
        <is>
          <t>← yellow cells are inputs. Type 'Player – Lesson Type' in a slot (e.g. Jake M – Hitting).</t>
        </is>
      </c>
    </row>
    <row r="4">
      <c r="A4" s="7" t="inlineStr">
        <is>
          <t>Time</t>
        </is>
      </c>
      <c r="B4" s="7" t="inlineStr">
        <is>
          <t>Monday</t>
        </is>
      </c>
      <c r="C4" s="7" t="inlineStr">
        <is>
          <t>Tuesday</t>
        </is>
      </c>
      <c r="D4" s="7" t="inlineStr">
        <is>
          <t>Wednesday</t>
        </is>
      </c>
      <c r="E4" s="7" t="inlineStr">
        <is>
          <t>Thursday</t>
        </is>
      </c>
      <c r="F4" s="7" t="inlineStr">
        <is>
          <t>Friday</t>
        </is>
      </c>
      <c r="G4" s="7" t="inlineStr">
        <is>
          <t>Saturday</t>
        </is>
      </c>
      <c r="H4" s="7" t="inlineStr">
        <is>
          <t>Sunday</t>
        </is>
      </c>
      <c r="J4" s="8" t="inlineStr">
        <is>
          <t>Legend</t>
        </is>
      </c>
    </row>
    <row r="5">
      <c r="A5" s="9" t="inlineStr"/>
      <c r="B5" s="10">
        <f>$B$2+0</f>
        <v/>
      </c>
      <c r="C5" s="10">
        <f>$B$2+1</f>
        <v/>
      </c>
      <c r="D5" s="10">
        <f>$B$2+2</f>
        <v/>
      </c>
      <c r="E5" s="10">
        <f>$B$2+3</f>
        <v/>
      </c>
      <c r="F5" s="10">
        <f>$B$2+4</f>
        <v/>
      </c>
      <c r="G5" s="10">
        <f>$B$2+5</f>
        <v/>
      </c>
      <c r="H5" s="10">
        <f>$B$2+6</f>
        <v/>
      </c>
      <c r="J5" s="11" t="inlineStr">
        <is>
          <t>Hitting</t>
        </is>
      </c>
    </row>
    <row r="6" ht="22" customHeight="1">
      <c r="A6" s="12" t="n">
        <v>0.2916666666666667</v>
      </c>
      <c r="B6" s="13" t="n"/>
      <c r="C6" s="13" t="n"/>
      <c r="D6" s="13" t="n"/>
      <c r="E6" s="13" t="n"/>
      <c r="F6" s="13" t="n"/>
      <c r="G6" s="13" t="n"/>
      <c r="H6" s="13" t="n"/>
      <c r="J6" s="14" t="inlineStr">
        <is>
          <t>Pitching</t>
        </is>
      </c>
    </row>
    <row r="7" ht="22" customHeight="1">
      <c r="A7" s="15" t="n">
        <v>0.3125</v>
      </c>
      <c r="B7" s="13" t="n"/>
      <c r="C7" s="13" t="n"/>
      <c r="D7" s="13" t="n"/>
      <c r="E7" s="13" t="n"/>
      <c r="F7" s="13" t="n"/>
      <c r="G7" s="13" t="n"/>
      <c r="H7" s="13" t="n"/>
      <c r="J7" s="16" t="inlineStr">
        <is>
          <t>Catching</t>
        </is>
      </c>
    </row>
    <row r="8" ht="22" customHeight="1">
      <c r="A8" s="12" t="n">
        <v>0.3333333333333333</v>
      </c>
      <c r="B8" s="13" t="n"/>
      <c r="C8" s="13" t="n"/>
      <c r="D8" s="13" t="n"/>
      <c r="E8" s="13" t="n"/>
      <c r="F8" s="13" t="n"/>
      <c r="G8" s="13" t="inlineStr">
        <is>
          <t>BLOCKED – Travel tourney</t>
        </is>
      </c>
      <c r="H8" s="13" t="n"/>
      <c r="J8" s="17" t="inlineStr">
        <is>
          <t>Fielding</t>
        </is>
      </c>
    </row>
    <row r="9" ht="22" customHeight="1">
      <c r="A9" s="15" t="n">
        <v>0.3541666666666667</v>
      </c>
      <c r="B9" s="13" t="n"/>
      <c r="C9" s="13" t="n"/>
      <c r="D9" s="13" t="n"/>
      <c r="E9" s="13" t="n"/>
      <c r="F9" s="13" t="n"/>
      <c r="G9" s="13" t="n"/>
      <c r="H9" s="13" t="n"/>
      <c r="J9" s="18" t="inlineStr">
        <is>
          <t>Speed/Agility</t>
        </is>
      </c>
    </row>
    <row r="10" ht="22" customHeight="1">
      <c r="A10" s="12" t="n">
        <v>0.375</v>
      </c>
      <c r="B10" s="13" t="n"/>
      <c r="C10" s="13" t="n"/>
      <c r="D10" s="13" t="n"/>
      <c r="E10" s="13" t="n"/>
      <c r="F10" s="13" t="n"/>
      <c r="G10" s="13" t="n"/>
      <c r="H10" s="13" t="n"/>
      <c r="J10" s="19" t="inlineStr">
        <is>
          <t>Team Clinic</t>
        </is>
      </c>
    </row>
    <row r="11" ht="22" customHeight="1">
      <c r="A11" s="15" t="n">
        <v>0.3958333333333333</v>
      </c>
      <c r="B11" s="13" t="n"/>
      <c r="C11" s="13" t="n"/>
      <c r="D11" s="13" t="n"/>
      <c r="E11" s="13" t="n"/>
      <c r="F11" s="13" t="n"/>
      <c r="G11" s="13" t="n"/>
      <c r="H11" s="13" t="n"/>
      <c r="J11" s="20" t="inlineStr">
        <is>
          <t>BLOCKED</t>
        </is>
      </c>
    </row>
    <row r="12" ht="22" customHeight="1">
      <c r="A12" s="12" t="n">
        <v>0.4166666666666667</v>
      </c>
      <c r="B12" s="13" t="inlineStr">
        <is>
          <t>Jake M – Hitting</t>
        </is>
      </c>
      <c r="C12" s="13" t="n"/>
      <c r="D12" s="13" t="n"/>
      <c r="E12" s="13" t="n"/>
      <c r="F12" s="13" t="n"/>
      <c r="G12" s="13" t="n"/>
      <c r="H12" s="13" t="n"/>
    </row>
    <row r="13" ht="22" customHeight="1">
      <c r="A13" s="15" t="n">
        <v>0.4375</v>
      </c>
      <c r="B13" s="13" t="inlineStr">
        <is>
          <t>Jake M – Hitting</t>
        </is>
      </c>
      <c r="C13" s="13" t="n"/>
      <c r="D13" s="13" t="n"/>
      <c r="E13" s="13" t="n"/>
      <c r="F13" s="13" t="n"/>
      <c r="G13" s="13" t="n"/>
      <c r="H13" s="13" t="n"/>
      <c r="J13" s="6" t="inlineStr">
        <is>
          <t>Tip: a lesson longer than 30 min —</t>
        </is>
      </c>
    </row>
    <row r="14" ht="22" customHeight="1">
      <c r="A14" s="12" t="n">
        <v>0.4583333333333333</v>
      </c>
      <c r="B14" s="13" t="n"/>
      <c r="C14" s="13" t="n"/>
      <c r="D14" s="13" t="n"/>
      <c r="E14" s="13" t="n"/>
      <c r="F14" s="13" t="n"/>
      <c r="G14" s="13" t="n"/>
      <c r="H14" s="13" t="n"/>
      <c r="J14" s="6" t="inlineStr">
        <is>
          <t>type it in each slot, or merge cells.</t>
        </is>
      </c>
    </row>
    <row r="15" ht="22" customHeight="1">
      <c r="A15" s="15" t="n">
        <v>0.4791666666666667</v>
      </c>
      <c r="B15" s="13" t="n"/>
      <c r="C15" s="13" t="n"/>
      <c r="D15" s="13" t="n"/>
      <c r="E15" s="13" t="n"/>
      <c r="F15" s="13" t="n"/>
      <c r="G15" s="13" t="n"/>
      <c r="H15" s="13" t="n"/>
    </row>
    <row r="16" ht="22" customHeight="1">
      <c r="A16" s="12" t="n">
        <v>0.5</v>
      </c>
      <c r="B16" s="13" t="n"/>
      <c r="C16" s="13" t="n"/>
      <c r="D16" s="13" t="n"/>
      <c r="E16" s="13" t="n"/>
      <c r="F16" s="13" t="n"/>
      <c r="G16" s="13" t="n"/>
      <c r="H16" s="13" t="n"/>
    </row>
    <row r="17" ht="22" customHeight="1">
      <c r="A17" s="15" t="n">
        <v>0.5208333333333334</v>
      </c>
      <c r="B17" s="13" t="n"/>
      <c r="C17" s="13" t="n"/>
      <c r="D17" s="13" t="n"/>
      <c r="E17" s="13" t="n"/>
      <c r="F17" s="13" t="n"/>
      <c r="G17" s="13" t="n"/>
      <c r="H17" s="13" t="n"/>
    </row>
    <row r="18" ht="22" customHeight="1">
      <c r="A18" s="12" t="n">
        <v>0.5416666666666666</v>
      </c>
      <c r="B18" s="13" t="n"/>
      <c r="C18" s="13" t="n"/>
      <c r="D18" s="13" t="n"/>
      <c r="E18" s="13" t="n"/>
      <c r="F18" s="13" t="n"/>
      <c r="G18" s="13" t="n"/>
      <c r="H18" s="13" t="n"/>
    </row>
    <row r="19" ht="22" customHeight="1">
      <c r="A19" s="15" t="n">
        <v>0.5625</v>
      </c>
      <c r="B19" s="13" t="n"/>
      <c r="C19" s="13" t="n"/>
      <c r="D19" s="13" t="n"/>
      <c r="E19" s="13" t="n"/>
      <c r="F19" s="13" t="n"/>
      <c r="G19" s="13" t="n"/>
      <c r="H19" s="13" t="n"/>
    </row>
    <row r="20" ht="22" customHeight="1">
      <c r="A20" s="12" t="n">
        <v>0.5833333333333334</v>
      </c>
      <c r="B20" s="13" t="n"/>
      <c r="C20" s="13" t="n"/>
      <c r="D20" s="13" t="n"/>
      <c r="E20" s="13" t="n"/>
      <c r="F20" s="13" t="n"/>
      <c r="G20" s="13" t="n"/>
      <c r="H20" s="13" t="n"/>
    </row>
    <row r="21" ht="22" customHeight="1">
      <c r="A21" s="15" t="n">
        <v>0.6041666666666666</v>
      </c>
      <c r="B21" s="13" t="n"/>
      <c r="C21" s="13" t="n"/>
      <c r="D21" s="13" t="n"/>
      <c r="E21" s="13" t="n"/>
      <c r="F21" s="13" t="n"/>
      <c r="G21" s="13" t="n"/>
      <c r="H21" s="13" t="n"/>
    </row>
    <row r="22" ht="22" customHeight="1">
      <c r="A22" s="12" t="n">
        <v>0.625</v>
      </c>
      <c r="B22" s="13" t="n"/>
      <c r="C22" s="13" t="n"/>
      <c r="D22" s="13" t="n"/>
      <c r="E22" s="13" t="n"/>
      <c r="F22" s="13" t="n"/>
      <c r="G22" s="13" t="n"/>
      <c r="H22" s="13" t="n"/>
    </row>
    <row r="23" ht="22" customHeight="1">
      <c r="A23" s="15" t="n">
        <v>0.6458333333333334</v>
      </c>
      <c r="B23" s="13" t="n"/>
      <c r="C23" s="13" t="n"/>
      <c r="D23" s="13" t="n"/>
      <c r="E23" s="13" t="n"/>
      <c r="F23" s="13" t="n"/>
      <c r="G23" s="13" t="n"/>
      <c r="H23" s="13" t="n"/>
    </row>
    <row r="24" ht="22" customHeight="1">
      <c r="A24" s="12" t="n">
        <v>0.6666666666666666</v>
      </c>
      <c r="B24" s="13" t="n"/>
      <c r="C24" s="13" t="n"/>
      <c r="D24" s="13" t="n"/>
      <c r="E24" s="13" t="n"/>
      <c r="F24" s="13" t="n"/>
      <c r="G24" s="13" t="n"/>
      <c r="H24" s="13" t="n"/>
    </row>
    <row r="25" ht="22" customHeight="1">
      <c r="A25" s="15" t="n">
        <v>0.6875</v>
      </c>
      <c r="B25" s="13" t="n"/>
      <c r="C25" s="13" t="n"/>
      <c r="D25" s="13" t="n"/>
      <c r="E25" s="13" t="n"/>
      <c r="F25" s="13" t="n"/>
      <c r="G25" s="13" t="n"/>
      <c r="H25" s="13" t="n"/>
    </row>
    <row r="26" ht="22" customHeight="1">
      <c r="A26" s="12" t="n">
        <v>0.7083333333333334</v>
      </c>
      <c r="B26" s="13" t="n"/>
      <c r="C26" s="13" t="n"/>
      <c r="D26" s="13" t="inlineStr">
        <is>
          <t>Ava R – Pitching</t>
        </is>
      </c>
      <c r="E26" s="13" t="n"/>
      <c r="F26" s="13" t="n"/>
      <c r="G26" s="13" t="n"/>
      <c r="H26" s="13" t="n"/>
    </row>
    <row r="27" ht="22" customHeight="1">
      <c r="A27" s="15" t="n">
        <v>0.7291666666666666</v>
      </c>
      <c r="B27" s="13" t="n"/>
      <c r="C27" s="13" t="n"/>
      <c r="D27" s="13" t="n"/>
      <c r="E27" s="13" t="n"/>
      <c r="F27" s="13" t="n"/>
      <c r="G27" s="13" t="n"/>
      <c r="H27" s="13" t="n"/>
    </row>
    <row r="28" ht="22" customHeight="1">
      <c r="A28" s="12" t="n">
        <v>0.75</v>
      </c>
      <c r="B28" s="13" t="n"/>
      <c r="C28" s="13" t="n"/>
      <c r="D28" s="13" t="n"/>
      <c r="E28" s="13" t="n"/>
      <c r="F28" s="13" t="n"/>
      <c r="G28" s="13" t="n"/>
      <c r="H28" s="13" t="n"/>
    </row>
    <row r="29" ht="22" customHeight="1">
      <c r="A29" s="15" t="n">
        <v>0.7708333333333334</v>
      </c>
      <c r="B29" s="13" t="n"/>
      <c r="C29" s="13" t="n"/>
      <c r="D29" s="13" t="n"/>
      <c r="E29" s="13" t="n"/>
      <c r="F29" s="13" t="n"/>
      <c r="G29" s="13" t="n"/>
      <c r="H29" s="13" t="n"/>
    </row>
    <row r="30" ht="22" customHeight="1">
      <c r="A30" s="12" t="n">
        <v>0.7916666666666666</v>
      </c>
      <c r="B30" s="13" t="n"/>
      <c r="C30" s="13" t="n"/>
      <c r="D30" s="13" t="n"/>
      <c r="E30" s="13" t="n"/>
      <c r="F30" s="13" t="n"/>
      <c r="G30" s="13" t="n"/>
      <c r="H30" s="13" t="n"/>
    </row>
    <row r="31" ht="22" customHeight="1">
      <c r="A31" s="15" t="n">
        <v>0.8125</v>
      </c>
      <c r="B31" s="13" t="n"/>
      <c r="C31" s="13" t="n"/>
      <c r="D31" s="13" t="n"/>
      <c r="E31" s="13" t="n"/>
      <c r="F31" s="13" t="n"/>
      <c r="G31" s="13" t="n"/>
      <c r="H31" s="13" t="n"/>
    </row>
    <row r="32" ht="22" customHeight="1">
      <c r="A32" s="12" t="n">
        <v>0.8333333333333334</v>
      </c>
      <c r="B32" s="13" t="n"/>
      <c r="C32" s="13" t="n"/>
      <c r="D32" s="13" t="n"/>
      <c r="E32" s="13" t="n"/>
      <c r="F32" s="13" t="n"/>
      <c r="G32" s="13" t="n"/>
      <c r="H32" s="13" t="n"/>
    </row>
    <row r="33" ht="22" customHeight="1">
      <c r="A33" s="15" t="n">
        <v>0.8541666666666666</v>
      </c>
      <c r="B33" s="13" t="n"/>
      <c r="C33" s="13" t="n"/>
      <c r="D33" s="13" t="n"/>
      <c r="E33" s="13" t="n"/>
      <c r="F33" s="13" t="n"/>
      <c r="G33" s="13" t="n"/>
      <c r="H33" s="13" t="n"/>
    </row>
    <row r="34">
      <c r="A34" s="7" t="inlineStr">
        <is>
          <t>Slots booked</t>
        </is>
      </c>
      <c r="B34" s="7">
        <f>COUNTA(B6:B33)-COUNTIF(B6:B33,"*BLOCKED*")</f>
        <v/>
      </c>
      <c r="C34" s="7">
        <f>COUNTA(C6:C33)-COUNTIF(C6:C33,"*BLOCKED*")</f>
        <v/>
      </c>
      <c r="D34" s="7">
        <f>COUNTA(D6:D33)-COUNTIF(D6:D33,"*BLOCKED*")</f>
        <v/>
      </c>
      <c r="E34" s="7">
        <f>COUNTA(E6:E33)-COUNTIF(E6:E33,"*BLOCKED*")</f>
        <v/>
      </c>
      <c r="F34" s="7">
        <f>COUNTA(F6:F33)-COUNTIF(F6:F33,"*BLOCKED*")</f>
        <v/>
      </c>
      <c r="G34" s="7">
        <f>COUNTA(G6:G33)-COUNTIF(G6:G33,"*BLOCKED*")</f>
        <v/>
      </c>
      <c r="H34" s="7">
        <f>COUNTA(H6:H33)-COUNTIF(H6:H33,"*BLOCKED*")</f>
        <v/>
      </c>
    </row>
    <row r="35">
      <c r="G35" s="4" t="inlineStr">
        <is>
          <t>Slots this week:</t>
        </is>
      </c>
      <c r="H35" s="21">
        <f>SUM(B34:H34)</f>
        <v/>
      </c>
    </row>
  </sheetData>
  <mergeCells count="1">
    <mergeCell ref="A1:H1"/>
  </mergeCells>
  <conditionalFormatting sqref="B6:H33">
    <cfRule type="expression" priority="1" dxfId="0" stopIfTrue="1">
      <formula>ISNUMBER(SEARCH("Hitting",B6))</formula>
    </cfRule>
    <cfRule type="expression" priority="2" dxfId="1" stopIfTrue="1">
      <formula>ISNUMBER(SEARCH("Pitching",B6))</formula>
    </cfRule>
    <cfRule type="expression" priority="3" dxfId="2" stopIfTrue="1">
      <formula>ISNUMBER(SEARCH("Catching",B6))</formula>
    </cfRule>
    <cfRule type="expression" priority="4" dxfId="3" stopIfTrue="1">
      <formula>ISNUMBER(SEARCH("Fielding",B6))</formula>
    </cfRule>
    <cfRule type="expression" priority="5" dxfId="4" stopIfTrue="1">
      <formula>ISNUMBER(SEARCH("Speed",B6))</formula>
    </cfRule>
    <cfRule type="expression" priority="6" dxfId="5" stopIfTrue="1">
      <formula>ISNUMBER(SEARCH("Team Clinic",B6))</formula>
    </cfRule>
    <cfRule type="expression" priority="7" dxfId="6" stopIfTrue="1">
      <formula>ISNUMBER(SEARCH("BLOCKED",B6))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  <col width="12" customWidth="1" min="5" max="5"/>
    <col width="20" customWidth="1" min="6" max="6"/>
    <col width="6" customWidth="1" min="7" max="7"/>
    <col width="24" customWidth="1" min="8" max="8"/>
    <col width="16" customWidth="1" min="9" max="9"/>
    <col width="22" customWidth="1" min="10" max="10"/>
    <col width="10" customWidth="1" min="11" max="11"/>
    <col width="9" customWidth="1" min="12" max="12"/>
    <col width="36" customWidth="1" min="13" max="13"/>
  </cols>
  <sheetData>
    <row r="1">
      <c r="A1" s="7" t="inlineStr">
        <is>
          <t>Date</t>
        </is>
      </c>
      <c r="B1" s="7" t="inlineStr">
        <is>
          <t>Day</t>
        </is>
      </c>
      <c r="C1" s="7" t="inlineStr">
        <is>
          <t>Start</t>
        </is>
      </c>
      <c r="D1" s="7" t="inlineStr">
        <is>
          <t>End</t>
        </is>
      </c>
      <c r="E1" s="7" t="inlineStr">
        <is>
          <t>Length (min)</t>
        </is>
      </c>
      <c r="F1" s="7" t="inlineStr">
        <is>
          <t>Player</t>
        </is>
      </c>
      <c r="G1" s="7" t="inlineStr">
        <is>
          <t>Age</t>
        </is>
      </c>
      <c r="H1" s="7" t="inlineStr">
        <is>
          <t>Parent / Contact</t>
        </is>
      </c>
      <c r="I1" s="7" t="inlineStr">
        <is>
          <t>Lesson Type</t>
        </is>
      </c>
      <c r="J1" s="7" t="inlineStr">
        <is>
          <t>Location</t>
        </is>
      </c>
      <c r="K1" s="7" t="inlineStr">
        <is>
          <t>Rate ($)</t>
        </is>
      </c>
      <c r="L1" s="7" t="inlineStr">
        <is>
          <t>Paid?</t>
        </is>
      </c>
      <c r="M1" s="7" t="inlineStr">
        <is>
          <t>Notes</t>
        </is>
      </c>
    </row>
    <row r="2">
      <c r="A2" s="22" t="n">
        <v>46321</v>
      </c>
      <c r="B2" s="23">
        <f>IF(A2="","",TEXT(A2,"ddd"))</f>
        <v/>
      </c>
      <c r="C2" s="24" t="n">
        <v>0.4166666666666667</v>
      </c>
      <c r="D2" s="24" t="n">
        <v>0.4583333333333333</v>
      </c>
      <c r="E2" s="23">
        <f>IF(OR(C2="",D2=""),"",ROUND((D2-C2)*1440,0))</f>
        <v/>
      </c>
      <c r="F2" s="23" t="inlineStr">
        <is>
          <t>Jake M</t>
        </is>
      </c>
      <c r="G2" s="23" t="n">
        <v>12</v>
      </c>
      <c r="H2" s="23" t="inlineStr">
        <is>
          <t>Mom – 555-0101</t>
        </is>
      </c>
      <c r="I2" s="23" t="inlineStr">
        <is>
          <t>Hitting</t>
        </is>
      </c>
      <c r="J2" s="23" t="inlineStr">
        <is>
          <t>Main Facility - Cage 1</t>
        </is>
      </c>
      <c r="K2" s="25" t="n">
        <v>60</v>
      </c>
      <c r="L2" s="23" t="inlineStr">
        <is>
          <t>Yes</t>
        </is>
      </c>
      <c r="M2" s="23" t="inlineStr">
        <is>
          <t>Sample row – delete me</t>
        </is>
      </c>
    </row>
    <row r="3">
      <c r="A3" s="26" t="n">
        <v>46323</v>
      </c>
      <c r="B3" s="27">
        <f>IF(A3="","",TEXT(A3,"ddd"))</f>
        <v/>
      </c>
      <c r="C3" s="28" t="n">
        <v>0.7083333333333334</v>
      </c>
      <c r="D3" s="28" t="n">
        <v>0.7291666666666666</v>
      </c>
      <c r="E3" s="27">
        <f>IF(OR(C3="",D3=""),"",ROUND((D3-C3)*1440,0))</f>
        <v/>
      </c>
      <c r="F3" s="27" t="inlineStr">
        <is>
          <t>Ava R</t>
        </is>
      </c>
      <c r="G3" s="27" t="n">
        <v>14</v>
      </c>
      <c r="H3" s="27" t="inlineStr">
        <is>
          <t>Dad – 555-0144</t>
        </is>
      </c>
      <c r="I3" s="27" t="inlineStr">
        <is>
          <t>Pitching</t>
        </is>
      </c>
      <c r="J3" s="27" t="inlineStr">
        <is>
          <t>Bullpen</t>
        </is>
      </c>
      <c r="K3" s="29" t="n">
        <v>40</v>
      </c>
      <c r="L3" s="27" t="inlineStr">
        <is>
          <t>No</t>
        </is>
      </c>
      <c r="M3" s="27" t="inlineStr">
        <is>
          <t>Sample row – delete me</t>
        </is>
      </c>
    </row>
    <row r="4">
      <c r="A4" s="22" t="n"/>
      <c r="B4" s="23">
        <f>IF(A4="","",TEXT(A4,"ddd"))</f>
        <v/>
      </c>
      <c r="C4" s="24" t="n"/>
      <c r="D4" s="24" t="n"/>
      <c r="E4" s="23">
        <f>IF(OR(C4="",D4=""),"",ROUND((D4-C4)*1440,0))</f>
        <v/>
      </c>
      <c r="F4" s="23" t="n"/>
      <c r="G4" s="23" t="n"/>
      <c r="H4" s="23" t="n"/>
      <c r="I4" s="23" t="n"/>
      <c r="J4" s="23" t="n"/>
      <c r="K4" s="25" t="n"/>
      <c r="L4" s="23" t="n"/>
      <c r="M4" s="23" t="n"/>
    </row>
    <row r="5">
      <c r="A5" s="26" t="n"/>
      <c r="B5" s="27">
        <f>IF(A5="","",TEXT(A5,"ddd"))</f>
        <v/>
      </c>
      <c r="C5" s="28" t="n"/>
      <c r="D5" s="28" t="n"/>
      <c r="E5" s="27">
        <f>IF(OR(C5="",D5=""),"",ROUND((D5-C5)*1440,0))</f>
        <v/>
      </c>
      <c r="F5" s="27" t="n"/>
      <c r="G5" s="27" t="n"/>
      <c r="H5" s="27" t="n"/>
      <c r="I5" s="27" t="n"/>
      <c r="J5" s="27" t="n"/>
      <c r="K5" s="29" t="n"/>
      <c r="L5" s="27" t="n"/>
      <c r="M5" s="27" t="n"/>
    </row>
    <row r="6">
      <c r="A6" s="22" t="n"/>
      <c r="B6" s="23">
        <f>IF(A6="","",TEXT(A6,"ddd"))</f>
        <v/>
      </c>
      <c r="C6" s="24" t="n"/>
      <c r="D6" s="24" t="n"/>
      <c r="E6" s="23">
        <f>IF(OR(C6="",D6=""),"",ROUND((D6-C6)*1440,0))</f>
        <v/>
      </c>
      <c r="F6" s="23" t="n"/>
      <c r="G6" s="23" t="n"/>
      <c r="H6" s="23" t="n"/>
      <c r="I6" s="23" t="n"/>
      <c r="J6" s="23" t="n"/>
      <c r="K6" s="25" t="n"/>
      <c r="L6" s="23" t="n"/>
      <c r="M6" s="23" t="n"/>
    </row>
    <row r="7">
      <c r="A7" s="26" t="n"/>
      <c r="B7" s="27">
        <f>IF(A7="","",TEXT(A7,"ddd"))</f>
        <v/>
      </c>
      <c r="C7" s="28" t="n"/>
      <c r="D7" s="28" t="n"/>
      <c r="E7" s="27">
        <f>IF(OR(C7="",D7=""),"",ROUND((D7-C7)*1440,0))</f>
        <v/>
      </c>
      <c r="F7" s="27" t="n"/>
      <c r="G7" s="27" t="n"/>
      <c r="H7" s="27" t="n"/>
      <c r="I7" s="27" t="n"/>
      <c r="J7" s="27" t="n"/>
      <c r="K7" s="29" t="n"/>
      <c r="L7" s="27" t="n"/>
      <c r="M7" s="27" t="n"/>
    </row>
    <row r="8">
      <c r="A8" s="22" t="n"/>
      <c r="B8" s="23">
        <f>IF(A8="","",TEXT(A8,"ddd"))</f>
        <v/>
      </c>
      <c r="C8" s="24" t="n"/>
      <c r="D8" s="24" t="n"/>
      <c r="E8" s="23">
        <f>IF(OR(C8="",D8=""),"",ROUND((D8-C8)*1440,0))</f>
        <v/>
      </c>
      <c r="F8" s="23" t="n"/>
      <c r="G8" s="23" t="n"/>
      <c r="H8" s="23" t="n"/>
      <c r="I8" s="23" t="n"/>
      <c r="J8" s="23" t="n"/>
      <c r="K8" s="25" t="n"/>
      <c r="L8" s="23" t="n"/>
      <c r="M8" s="23" t="n"/>
    </row>
    <row r="9">
      <c r="A9" s="26" t="n"/>
      <c r="B9" s="27">
        <f>IF(A9="","",TEXT(A9,"ddd"))</f>
        <v/>
      </c>
      <c r="C9" s="28" t="n"/>
      <c r="D9" s="28" t="n"/>
      <c r="E9" s="27">
        <f>IF(OR(C9="",D9=""),"",ROUND((D9-C9)*1440,0))</f>
        <v/>
      </c>
      <c r="F9" s="27" t="n"/>
      <c r="G9" s="27" t="n"/>
      <c r="H9" s="27" t="n"/>
      <c r="I9" s="27" t="n"/>
      <c r="J9" s="27" t="n"/>
      <c r="K9" s="29" t="n"/>
      <c r="L9" s="27" t="n"/>
      <c r="M9" s="27" t="n"/>
    </row>
    <row r="10">
      <c r="A10" s="22" t="n"/>
      <c r="B10" s="23">
        <f>IF(A10="","",TEXT(A10,"ddd"))</f>
        <v/>
      </c>
      <c r="C10" s="24" t="n"/>
      <c r="D10" s="24" t="n"/>
      <c r="E10" s="23">
        <f>IF(OR(C10="",D10=""),"",ROUND((D10-C10)*1440,0))</f>
        <v/>
      </c>
      <c r="F10" s="23" t="n"/>
      <c r="G10" s="23" t="n"/>
      <c r="H10" s="23" t="n"/>
      <c r="I10" s="23" t="n"/>
      <c r="J10" s="23" t="n"/>
      <c r="K10" s="25" t="n"/>
      <c r="L10" s="23" t="n"/>
      <c r="M10" s="23" t="n"/>
    </row>
    <row r="11">
      <c r="A11" s="26" t="n"/>
      <c r="B11" s="27">
        <f>IF(A11="","",TEXT(A11,"ddd"))</f>
        <v/>
      </c>
      <c r="C11" s="28" t="n"/>
      <c r="D11" s="28" t="n"/>
      <c r="E11" s="27">
        <f>IF(OR(C11="",D11=""),"",ROUND((D11-C11)*1440,0))</f>
        <v/>
      </c>
      <c r="F11" s="27" t="n"/>
      <c r="G11" s="27" t="n"/>
      <c r="H11" s="27" t="n"/>
      <c r="I11" s="27" t="n"/>
      <c r="J11" s="27" t="n"/>
      <c r="K11" s="29" t="n"/>
      <c r="L11" s="27" t="n"/>
      <c r="M11" s="27" t="n"/>
    </row>
    <row r="12">
      <c r="A12" s="22" t="n"/>
      <c r="B12" s="23">
        <f>IF(A12="","",TEXT(A12,"ddd"))</f>
        <v/>
      </c>
      <c r="C12" s="24" t="n"/>
      <c r="D12" s="24" t="n"/>
      <c r="E12" s="23">
        <f>IF(OR(C12="",D12=""),"",ROUND((D12-C12)*1440,0))</f>
        <v/>
      </c>
      <c r="F12" s="23" t="n"/>
      <c r="G12" s="23" t="n"/>
      <c r="H12" s="23" t="n"/>
      <c r="I12" s="23" t="n"/>
      <c r="J12" s="23" t="n"/>
      <c r="K12" s="25" t="n"/>
      <c r="L12" s="23" t="n"/>
      <c r="M12" s="23" t="n"/>
    </row>
    <row r="13">
      <c r="A13" s="26" t="n"/>
      <c r="B13" s="27">
        <f>IF(A13="","",TEXT(A13,"ddd"))</f>
        <v/>
      </c>
      <c r="C13" s="28" t="n"/>
      <c r="D13" s="28" t="n"/>
      <c r="E13" s="27">
        <f>IF(OR(C13="",D13=""),"",ROUND((D13-C13)*1440,0))</f>
        <v/>
      </c>
      <c r="F13" s="27" t="n"/>
      <c r="G13" s="27" t="n"/>
      <c r="H13" s="27" t="n"/>
      <c r="I13" s="27" t="n"/>
      <c r="J13" s="27" t="n"/>
      <c r="K13" s="29" t="n"/>
      <c r="L13" s="27" t="n"/>
      <c r="M13" s="27" t="n"/>
    </row>
    <row r="14">
      <c r="A14" s="22" t="n"/>
      <c r="B14" s="23">
        <f>IF(A14="","",TEXT(A14,"ddd"))</f>
        <v/>
      </c>
      <c r="C14" s="24" t="n"/>
      <c r="D14" s="24" t="n"/>
      <c r="E14" s="23">
        <f>IF(OR(C14="",D14=""),"",ROUND((D14-C14)*1440,0))</f>
        <v/>
      </c>
      <c r="F14" s="23" t="n"/>
      <c r="G14" s="23" t="n"/>
      <c r="H14" s="23" t="n"/>
      <c r="I14" s="23" t="n"/>
      <c r="J14" s="23" t="n"/>
      <c r="K14" s="25" t="n"/>
      <c r="L14" s="23" t="n"/>
      <c r="M14" s="23" t="n"/>
    </row>
    <row r="15">
      <c r="A15" s="26" t="n"/>
      <c r="B15" s="27">
        <f>IF(A15="","",TEXT(A15,"ddd"))</f>
        <v/>
      </c>
      <c r="C15" s="28" t="n"/>
      <c r="D15" s="28" t="n"/>
      <c r="E15" s="27">
        <f>IF(OR(C15="",D15=""),"",ROUND((D15-C15)*1440,0))</f>
        <v/>
      </c>
      <c r="F15" s="27" t="n"/>
      <c r="G15" s="27" t="n"/>
      <c r="H15" s="27" t="n"/>
      <c r="I15" s="27" t="n"/>
      <c r="J15" s="27" t="n"/>
      <c r="K15" s="29" t="n"/>
      <c r="L15" s="27" t="n"/>
      <c r="M15" s="27" t="n"/>
    </row>
    <row r="16">
      <c r="A16" s="22" t="n"/>
      <c r="B16" s="23">
        <f>IF(A16="","",TEXT(A16,"ddd"))</f>
        <v/>
      </c>
      <c r="C16" s="24" t="n"/>
      <c r="D16" s="24" t="n"/>
      <c r="E16" s="23">
        <f>IF(OR(C16="",D16=""),"",ROUND((D16-C16)*1440,0))</f>
        <v/>
      </c>
      <c r="F16" s="23" t="n"/>
      <c r="G16" s="23" t="n"/>
      <c r="H16" s="23" t="n"/>
      <c r="I16" s="23" t="n"/>
      <c r="J16" s="23" t="n"/>
      <c r="K16" s="25" t="n"/>
      <c r="L16" s="23" t="n"/>
      <c r="M16" s="23" t="n"/>
    </row>
    <row r="17">
      <c r="A17" s="26" t="n"/>
      <c r="B17" s="27">
        <f>IF(A17="","",TEXT(A17,"ddd"))</f>
        <v/>
      </c>
      <c r="C17" s="28" t="n"/>
      <c r="D17" s="28" t="n"/>
      <c r="E17" s="27">
        <f>IF(OR(C17="",D17=""),"",ROUND((D17-C17)*1440,0))</f>
        <v/>
      </c>
      <c r="F17" s="27" t="n"/>
      <c r="G17" s="27" t="n"/>
      <c r="H17" s="27" t="n"/>
      <c r="I17" s="27" t="n"/>
      <c r="J17" s="27" t="n"/>
      <c r="K17" s="29" t="n"/>
      <c r="L17" s="27" t="n"/>
      <c r="M17" s="27" t="n"/>
    </row>
    <row r="18">
      <c r="A18" s="22" t="n"/>
      <c r="B18" s="23">
        <f>IF(A18="","",TEXT(A18,"ddd"))</f>
        <v/>
      </c>
      <c r="C18" s="24" t="n"/>
      <c r="D18" s="24" t="n"/>
      <c r="E18" s="23">
        <f>IF(OR(C18="",D18=""),"",ROUND((D18-C18)*1440,0))</f>
        <v/>
      </c>
      <c r="F18" s="23" t="n"/>
      <c r="G18" s="23" t="n"/>
      <c r="H18" s="23" t="n"/>
      <c r="I18" s="23" t="n"/>
      <c r="J18" s="23" t="n"/>
      <c r="K18" s="25" t="n"/>
      <c r="L18" s="23" t="n"/>
      <c r="M18" s="23" t="n"/>
    </row>
    <row r="19">
      <c r="A19" s="26" t="n"/>
      <c r="B19" s="27">
        <f>IF(A19="","",TEXT(A19,"ddd"))</f>
        <v/>
      </c>
      <c r="C19" s="28" t="n"/>
      <c r="D19" s="28" t="n"/>
      <c r="E19" s="27">
        <f>IF(OR(C19="",D19=""),"",ROUND((D19-C19)*1440,0))</f>
        <v/>
      </c>
      <c r="F19" s="27" t="n"/>
      <c r="G19" s="27" t="n"/>
      <c r="H19" s="27" t="n"/>
      <c r="I19" s="27" t="n"/>
      <c r="J19" s="27" t="n"/>
      <c r="K19" s="29" t="n"/>
      <c r="L19" s="27" t="n"/>
      <c r="M19" s="27" t="n"/>
    </row>
    <row r="20">
      <c r="A20" s="22" t="n"/>
      <c r="B20" s="23">
        <f>IF(A20="","",TEXT(A20,"ddd"))</f>
        <v/>
      </c>
      <c r="C20" s="24" t="n"/>
      <c r="D20" s="24" t="n"/>
      <c r="E20" s="23">
        <f>IF(OR(C20="",D20=""),"",ROUND((D20-C20)*1440,0))</f>
        <v/>
      </c>
      <c r="F20" s="23" t="n"/>
      <c r="G20" s="23" t="n"/>
      <c r="H20" s="23" t="n"/>
      <c r="I20" s="23" t="n"/>
      <c r="J20" s="23" t="n"/>
      <c r="K20" s="25" t="n"/>
      <c r="L20" s="23" t="n"/>
      <c r="M20" s="23" t="n"/>
    </row>
    <row r="21">
      <c r="A21" s="26" t="n"/>
      <c r="B21" s="27">
        <f>IF(A21="","",TEXT(A21,"ddd"))</f>
        <v/>
      </c>
      <c r="C21" s="28" t="n"/>
      <c r="D21" s="28" t="n"/>
      <c r="E21" s="27">
        <f>IF(OR(C21="",D21=""),"",ROUND((D21-C21)*1440,0))</f>
        <v/>
      </c>
      <c r="F21" s="27" t="n"/>
      <c r="G21" s="27" t="n"/>
      <c r="H21" s="27" t="n"/>
      <c r="I21" s="27" t="n"/>
      <c r="J21" s="27" t="n"/>
      <c r="K21" s="29" t="n"/>
      <c r="L21" s="27" t="n"/>
      <c r="M21" s="27" t="n"/>
    </row>
    <row r="22">
      <c r="A22" s="22" t="n"/>
      <c r="B22" s="23">
        <f>IF(A22="","",TEXT(A22,"ddd"))</f>
        <v/>
      </c>
      <c r="C22" s="24" t="n"/>
      <c r="D22" s="24" t="n"/>
      <c r="E22" s="23">
        <f>IF(OR(C22="",D22=""),"",ROUND((D22-C22)*1440,0))</f>
        <v/>
      </c>
      <c r="F22" s="23" t="n"/>
      <c r="G22" s="23" t="n"/>
      <c r="H22" s="23" t="n"/>
      <c r="I22" s="23" t="n"/>
      <c r="J22" s="23" t="n"/>
      <c r="K22" s="25" t="n"/>
      <c r="L22" s="23" t="n"/>
      <c r="M22" s="23" t="n"/>
    </row>
    <row r="23">
      <c r="A23" s="26" t="n"/>
      <c r="B23" s="27">
        <f>IF(A23="","",TEXT(A23,"ddd"))</f>
        <v/>
      </c>
      <c r="C23" s="28" t="n"/>
      <c r="D23" s="28" t="n"/>
      <c r="E23" s="27">
        <f>IF(OR(C23="",D23=""),"",ROUND((D23-C23)*1440,0))</f>
        <v/>
      </c>
      <c r="F23" s="27" t="n"/>
      <c r="G23" s="27" t="n"/>
      <c r="H23" s="27" t="n"/>
      <c r="I23" s="27" t="n"/>
      <c r="J23" s="27" t="n"/>
      <c r="K23" s="29" t="n"/>
      <c r="L23" s="27" t="n"/>
      <c r="M23" s="27" t="n"/>
    </row>
    <row r="24">
      <c r="A24" s="22" t="n"/>
      <c r="B24" s="23">
        <f>IF(A24="","",TEXT(A24,"ddd"))</f>
        <v/>
      </c>
      <c r="C24" s="24" t="n"/>
      <c r="D24" s="24" t="n"/>
      <c r="E24" s="23">
        <f>IF(OR(C24="",D24=""),"",ROUND((D24-C24)*1440,0))</f>
        <v/>
      </c>
      <c r="F24" s="23" t="n"/>
      <c r="G24" s="23" t="n"/>
      <c r="H24" s="23" t="n"/>
      <c r="I24" s="23" t="n"/>
      <c r="J24" s="23" t="n"/>
      <c r="K24" s="25" t="n"/>
      <c r="L24" s="23" t="n"/>
      <c r="M24" s="23" t="n"/>
    </row>
    <row r="25">
      <c r="A25" s="26" t="n"/>
      <c r="B25" s="27">
        <f>IF(A25="","",TEXT(A25,"ddd"))</f>
        <v/>
      </c>
      <c r="C25" s="28" t="n"/>
      <c r="D25" s="28" t="n"/>
      <c r="E25" s="27">
        <f>IF(OR(C25="",D25=""),"",ROUND((D25-C25)*1440,0))</f>
        <v/>
      </c>
      <c r="F25" s="27" t="n"/>
      <c r="G25" s="27" t="n"/>
      <c r="H25" s="27" t="n"/>
      <c r="I25" s="27" t="n"/>
      <c r="J25" s="27" t="n"/>
      <c r="K25" s="29" t="n"/>
      <c r="L25" s="27" t="n"/>
      <c r="M25" s="27" t="n"/>
    </row>
    <row r="26">
      <c r="A26" s="22" t="n"/>
      <c r="B26" s="23">
        <f>IF(A26="","",TEXT(A26,"ddd"))</f>
        <v/>
      </c>
      <c r="C26" s="24" t="n"/>
      <c r="D26" s="24" t="n"/>
      <c r="E26" s="23">
        <f>IF(OR(C26="",D26=""),"",ROUND((D26-C26)*1440,0))</f>
        <v/>
      </c>
      <c r="F26" s="23" t="n"/>
      <c r="G26" s="23" t="n"/>
      <c r="H26" s="23" t="n"/>
      <c r="I26" s="23" t="n"/>
      <c r="J26" s="23" t="n"/>
      <c r="K26" s="25" t="n"/>
      <c r="L26" s="23" t="n"/>
      <c r="M26" s="23" t="n"/>
    </row>
    <row r="27">
      <c r="A27" s="26" t="n"/>
      <c r="B27" s="27">
        <f>IF(A27="","",TEXT(A27,"ddd"))</f>
        <v/>
      </c>
      <c r="C27" s="28" t="n"/>
      <c r="D27" s="28" t="n"/>
      <c r="E27" s="27">
        <f>IF(OR(C27="",D27=""),"",ROUND((D27-C27)*1440,0))</f>
        <v/>
      </c>
      <c r="F27" s="27" t="n"/>
      <c r="G27" s="27" t="n"/>
      <c r="H27" s="27" t="n"/>
      <c r="I27" s="27" t="n"/>
      <c r="J27" s="27" t="n"/>
      <c r="K27" s="29" t="n"/>
      <c r="L27" s="27" t="n"/>
      <c r="M27" s="27" t="n"/>
    </row>
    <row r="28">
      <c r="A28" s="22" t="n"/>
      <c r="B28" s="23">
        <f>IF(A28="","",TEXT(A28,"ddd"))</f>
        <v/>
      </c>
      <c r="C28" s="24" t="n"/>
      <c r="D28" s="24" t="n"/>
      <c r="E28" s="23">
        <f>IF(OR(C28="",D28=""),"",ROUND((D28-C28)*1440,0))</f>
        <v/>
      </c>
      <c r="F28" s="23" t="n"/>
      <c r="G28" s="23" t="n"/>
      <c r="H28" s="23" t="n"/>
      <c r="I28" s="23" t="n"/>
      <c r="J28" s="23" t="n"/>
      <c r="K28" s="25" t="n"/>
      <c r="L28" s="23" t="n"/>
      <c r="M28" s="23" t="n"/>
    </row>
    <row r="29">
      <c r="A29" s="26" t="n"/>
      <c r="B29" s="27">
        <f>IF(A29="","",TEXT(A29,"ddd"))</f>
        <v/>
      </c>
      <c r="C29" s="28" t="n"/>
      <c r="D29" s="28" t="n"/>
      <c r="E29" s="27">
        <f>IF(OR(C29="",D29=""),"",ROUND((D29-C29)*1440,0))</f>
        <v/>
      </c>
      <c r="F29" s="27" t="n"/>
      <c r="G29" s="27" t="n"/>
      <c r="H29" s="27" t="n"/>
      <c r="I29" s="27" t="n"/>
      <c r="J29" s="27" t="n"/>
      <c r="K29" s="29" t="n"/>
      <c r="L29" s="27" t="n"/>
      <c r="M29" s="27" t="n"/>
    </row>
    <row r="30">
      <c r="A30" s="22" t="n"/>
      <c r="B30" s="23">
        <f>IF(A30="","",TEXT(A30,"ddd"))</f>
        <v/>
      </c>
      <c r="C30" s="24" t="n"/>
      <c r="D30" s="24" t="n"/>
      <c r="E30" s="23">
        <f>IF(OR(C30="",D30=""),"",ROUND((D30-C30)*1440,0))</f>
        <v/>
      </c>
      <c r="F30" s="23" t="n"/>
      <c r="G30" s="23" t="n"/>
      <c r="H30" s="23" t="n"/>
      <c r="I30" s="23" t="n"/>
      <c r="J30" s="23" t="n"/>
      <c r="K30" s="25" t="n"/>
      <c r="L30" s="23" t="n"/>
      <c r="M30" s="23" t="n"/>
    </row>
    <row r="31">
      <c r="A31" s="26" t="n"/>
      <c r="B31" s="27">
        <f>IF(A31="","",TEXT(A31,"ddd"))</f>
        <v/>
      </c>
      <c r="C31" s="28" t="n"/>
      <c r="D31" s="28" t="n"/>
      <c r="E31" s="27">
        <f>IF(OR(C31="",D31=""),"",ROUND((D31-C31)*1440,0))</f>
        <v/>
      </c>
      <c r="F31" s="27" t="n"/>
      <c r="G31" s="27" t="n"/>
      <c r="H31" s="27" t="n"/>
      <c r="I31" s="27" t="n"/>
      <c r="J31" s="27" t="n"/>
      <c r="K31" s="29" t="n"/>
      <c r="L31" s="27" t="n"/>
      <c r="M31" s="27" t="n"/>
    </row>
    <row r="32">
      <c r="A32" s="22" t="n"/>
      <c r="B32" s="23">
        <f>IF(A32="","",TEXT(A32,"ddd"))</f>
        <v/>
      </c>
      <c r="C32" s="24" t="n"/>
      <c r="D32" s="24" t="n"/>
      <c r="E32" s="23">
        <f>IF(OR(C32="",D32=""),"",ROUND((D32-C32)*1440,0))</f>
        <v/>
      </c>
      <c r="F32" s="23" t="n"/>
      <c r="G32" s="23" t="n"/>
      <c r="H32" s="23" t="n"/>
      <c r="I32" s="23" t="n"/>
      <c r="J32" s="23" t="n"/>
      <c r="K32" s="25" t="n"/>
      <c r="L32" s="23" t="n"/>
      <c r="M32" s="23" t="n"/>
    </row>
    <row r="33">
      <c r="A33" s="26" t="n"/>
      <c r="B33" s="27">
        <f>IF(A33="","",TEXT(A33,"ddd"))</f>
        <v/>
      </c>
      <c r="C33" s="28" t="n"/>
      <c r="D33" s="28" t="n"/>
      <c r="E33" s="27">
        <f>IF(OR(C33="",D33=""),"",ROUND((D33-C33)*1440,0))</f>
        <v/>
      </c>
      <c r="F33" s="27" t="n"/>
      <c r="G33" s="27" t="n"/>
      <c r="H33" s="27" t="n"/>
      <c r="I33" s="27" t="n"/>
      <c r="J33" s="27" t="n"/>
      <c r="K33" s="29" t="n"/>
      <c r="L33" s="27" t="n"/>
      <c r="M33" s="27" t="n"/>
    </row>
    <row r="34">
      <c r="A34" s="22" t="n"/>
      <c r="B34" s="23">
        <f>IF(A34="","",TEXT(A34,"ddd"))</f>
        <v/>
      </c>
      <c r="C34" s="24" t="n"/>
      <c r="D34" s="24" t="n"/>
      <c r="E34" s="23">
        <f>IF(OR(C34="",D34=""),"",ROUND((D34-C34)*1440,0))</f>
        <v/>
      </c>
      <c r="F34" s="23" t="n"/>
      <c r="G34" s="23" t="n"/>
      <c r="H34" s="23" t="n"/>
      <c r="I34" s="23" t="n"/>
      <c r="J34" s="23" t="n"/>
      <c r="K34" s="25" t="n"/>
      <c r="L34" s="23" t="n"/>
      <c r="M34" s="23" t="n"/>
    </row>
    <row r="35">
      <c r="A35" s="26" t="n"/>
      <c r="B35" s="27">
        <f>IF(A35="","",TEXT(A35,"ddd"))</f>
        <v/>
      </c>
      <c r="C35" s="28" t="n"/>
      <c r="D35" s="28" t="n"/>
      <c r="E35" s="27">
        <f>IF(OR(C35="",D35=""),"",ROUND((D35-C35)*1440,0))</f>
        <v/>
      </c>
      <c r="F35" s="27" t="n"/>
      <c r="G35" s="27" t="n"/>
      <c r="H35" s="27" t="n"/>
      <c r="I35" s="27" t="n"/>
      <c r="J35" s="27" t="n"/>
      <c r="K35" s="29" t="n"/>
      <c r="L35" s="27" t="n"/>
      <c r="M35" s="27" t="n"/>
    </row>
    <row r="36">
      <c r="A36" s="22" t="n"/>
      <c r="B36" s="23">
        <f>IF(A36="","",TEXT(A36,"ddd"))</f>
        <v/>
      </c>
      <c r="C36" s="24" t="n"/>
      <c r="D36" s="24" t="n"/>
      <c r="E36" s="23">
        <f>IF(OR(C36="",D36=""),"",ROUND((D36-C36)*1440,0))</f>
        <v/>
      </c>
      <c r="F36" s="23" t="n"/>
      <c r="G36" s="23" t="n"/>
      <c r="H36" s="23" t="n"/>
      <c r="I36" s="23" t="n"/>
      <c r="J36" s="23" t="n"/>
      <c r="K36" s="25" t="n"/>
      <c r="L36" s="23" t="n"/>
      <c r="M36" s="23" t="n"/>
    </row>
    <row r="37">
      <c r="A37" s="26" t="n"/>
      <c r="B37" s="27">
        <f>IF(A37="","",TEXT(A37,"ddd"))</f>
        <v/>
      </c>
      <c r="C37" s="28" t="n"/>
      <c r="D37" s="28" t="n"/>
      <c r="E37" s="27">
        <f>IF(OR(C37="",D37=""),"",ROUND((D37-C37)*1440,0))</f>
        <v/>
      </c>
      <c r="F37" s="27" t="n"/>
      <c r="G37" s="27" t="n"/>
      <c r="H37" s="27" t="n"/>
      <c r="I37" s="27" t="n"/>
      <c r="J37" s="27" t="n"/>
      <c r="K37" s="29" t="n"/>
      <c r="L37" s="27" t="n"/>
      <c r="M37" s="27" t="n"/>
    </row>
    <row r="38">
      <c r="A38" s="22" t="n"/>
      <c r="B38" s="23">
        <f>IF(A38="","",TEXT(A38,"ddd"))</f>
        <v/>
      </c>
      <c r="C38" s="24" t="n"/>
      <c r="D38" s="24" t="n"/>
      <c r="E38" s="23">
        <f>IF(OR(C38="",D38=""),"",ROUND((D38-C38)*1440,0))</f>
        <v/>
      </c>
      <c r="F38" s="23" t="n"/>
      <c r="G38" s="23" t="n"/>
      <c r="H38" s="23" t="n"/>
      <c r="I38" s="23" t="n"/>
      <c r="J38" s="23" t="n"/>
      <c r="K38" s="25" t="n"/>
      <c r="L38" s="23" t="n"/>
      <c r="M38" s="23" t="n"/>
    </row>
    <row r="39">
      <c r="A39" s="26" t="n"/>
      <c r="B39" s="27">
        <f>IF(A39="","",TEXT(A39,"ddd"))</f>
        <v/>
      </c>
      <c r="C39" s="28" t="n"/>
      <c r="D39" s="28" t="n"/>
      <c r="E39" s="27">
        <f>IF(OR(C39="",D39=""),"",ROUND((D39-C39)*1440,0))</f>
        <v/>
      </c>
      <c r="F39" s="27" t="n"/>
      <c r="G39" s="27" t="n"/>
      <c r="H39" s="27" t="n"/>
      <c r="I39" s="27" t="n"/>
      <c r="J39" s="27" t="n"/>
      <c r="K39" s="29" t="n"/>
      <c r="L39" s="27" t="n"/>
      <c r="M39" s="27" t="n"/>
    </row>
    <row r="40">
      <c r="A40" s="22" t="n"/>
      <c r="B40" s="23">
        <f>IF(A40="","",TEXT(A40,"ddd"))</f>
        <v/>
      </c>
      <c r="C40" s="24" t="n"/>
      <c r="D40" s="24" t="n"/>
      <c r="E40" s="23">
        <f>IF(OR(C40="",D40=""),"",ROUND((D40-C40)*1440,0))</f>
        <v/>
      </c>
      <c r="F40" s="23" t="n"/>
      <c r="G40" s="23" t="n"/>
      <c r="H40" s="23" t="n"/>
      <c r="I40" s="23" t="n"/>
      <c r="J40" s="23" t="n"/>
      <c r="K40" s="25" t="n"/>
      <c r="L40" s="23" t="n"/>
      <c r="M40" s="23" t="n"/>
    </row>
    <row r="41">
      <c r="A41" s="26" t="n"/>
      <c r="B41" s="27">
        <f>IF(A41="","",TEXT(A41,"ddd"))</f>
        <v/>
      </c>
      <c r="C41" s="28" t="n"/>
      <c r="D41" s="28" t="n"/>
      <c r="E41" s="27">
        <f>IF(OR(C41="",D41=""),"",ROUND((D41-C41)*1440,0))</f>
        <v/>
      </c>
      <c r="F41" s="27" t="n"/>
      <c r="G41" s="27" t="n"/>
      <c r="H41" s="27" t="n"/>
      <c r="I41" s="27" t="n"/>
      <c r="J41" s="27" t="n"/>
      <c r="K41" s="29" t="n"/>
      <c r="L41" s="27" t="n"/>
      <c r="M41" s="27" t="n"/>
    </row>
    <row r="42">
      <c r="A42" s="22" t="n"/>
      <c r="B42" s="23">
        <f>IF(A42="","",TEXT(A42,"ddd"))</f>
        <v/>
      </c>
      <c r="C42" s="24" t="n"/>
      <c r="D42" s="24" t="n"/>
      <c r="E42" s="23">
        <f>IF(OR(C42="",D42=""),"",ROUND((D42-C42)*1440,0))</f>
        <v/>
      </c>
      <c r="F42" s="23" t="n"/>
      <c r="G42" s="23" t="n"/>
      <c r="H42" s="23" t="n"/>
      <c r="I42" s="23" t="n"/>
      <c r="J42" s="23" t="n"/>
      <c r="K42" s="25" t="n"/>
      <c r="L42" s="23" t="n"/>
      <c r="M42" s="23" t="n"/>
    </row>
    <row r="43">
      <c r="A43" s="26" t="n"/>
      <c r="B43" s="27">
        <f>IF(A43="","",TEXT(A43,"ddd"))</f>
        <v/>
      </c>
      <c r="C43" s="28" t="n"/>
      <c r="D43" s="28" t="n"/>
      <c r="E43" s="27">
        <f>IF(OR(C43="",D43=""),"",ROUND((D43-C43)*1440,0))</f>
        <v/>
      </c>
      <c r="F43" s="27" t="n"/>
      <c r="G43" s="27" t="n"/>
      <c r="H43" s="27" t="n"/>
      <c r="I43" s="27" t="n"/>
      <c r="J43" s="27" t="n"/>
      <c r="K43" s="29" t="n"/>
      <c r="L43" s="27" t="n"/>
      <c r="M43" s="27" t="n"/>
    </row>
    <row r="44">
      <c r="A44" s="22" t="n"/>
      <c r="B44" s="23">
        <f>IF(A44="","",TEXT(A44,"ddd"))</f>
        <v/>
      </c>
      <c r="C44" s="24" t="n"/>
      <c r="D44" s="24" t="n"/>
      <c r="E44" s="23">
        <f>IF(OR(C44="",D44=""),"",ROUND((D44-C44)*1440,0))</f>
        <v/>
      </c>
      <c r="F44" s="23" t="n"/>
      <c r="G44" s="23" t="n"/>
      <c r="H44" s="23" t="n"/>
      <c r="I44" s="23" t="n"/>
      <c r="J44" s="23" t="n"/>
      <c r="K44" s="25" t="n"/>
      <c r="L44" s="23" t="n"/>
      <c r="M44" s="23" t="n"/>
    </row>
    <row r="45">
      <c r="A45" s="26" t="n"/>
      <c r="B45" s="27">
        <f>IF(A45="","",TEXT(A45,"ddd"))</f>
        <v/>
      </c>
      <c r="C45" s="28" t="n"/>
      <c r="D45" s="28" t="n"/>
      <c r="E45" s="27">
        <f>IF(OR(C45="",D45=""),"",ROUND((D45-C45)*1440,0))</f>
        <v/>
      </c>
      <c r="F45" s="27" t="n"/>
      <c r="G45" s="27" t="n"/>
      <c r="H45" s="27" t="n"/>
      <c r="I45" s="27" t="n"/>
      <c r="J45" s="27" t="n"/>
      <c r="K45" s="29" t="n"/>
      <c r="L45" s="27" t="n"/>
      <c r="M45" s="27" t="n"/>
    </row>
    <row r="46">
      <c r="A46" s="22" t="n"/>
      <c r="B46" s="23">
        <f>IF(A46="","",TEXT(A46,"ddd"))</f>
        <v/>
      </c>
      <c r="C46" s="24" t="n"/>
      <c r="D46" s="24" t="n"/>
      <c r="E46" s="23">
        <f>IF(OR(C46="",D46=""),"",ROUND((D46-C46)*1440,0))</f>
        <v/>
      </c>
      <c r="F46" s="23" t="n"/>
      <c r="G46" s="23" t="n"/>
      <c r="H46" s="23" t="n"/>
      <c r="I46" s="23" t="n"/>
      <c r="J46" s="23" t="n"/>
      <c r="K46" s="25" t="n"/>
      <c r="L46" s="23" t="n"/>
      <c r="M46" s="23" t="n"/>
    </row>
    <row r="47">
      <c r="A47" s="26" t="n"/>
      <c r="B47" s="27">
        <f>IF(A47="","",TEXT(A47,"ddd"))</f>
        <v/>
      </c>
      <c r="C47" s="28" t="n"/>
      <c r="D47" s="28" t="n"/>
      <c r="E47" s="27">
        <f>IF(OR(C47="",D47=""),"",ROUND((D47-C47)*1440,0))</f>
        <v/>
      </c>
      <c r="F47" s="27" t="n"/>
      <c r="G47" s="27" t="n"/>
      <c r="H47" s="27" t="n"/>
      <c r="I47" s="27" t="n"/>
      <c r="J47" s="27" t="n"/>
      <c r="K47" s="29" t="n"/>
      <c r="L47" s="27" t="n"/>
      <c r="M47" s="27" t="n"/>
    </row>
    <row r="48">
      <c r="A48" s="22" t="n"/>
      <c r="B48" s="23">
        <f>IF(A48="","",TEXT(A48,"ddd"))</f>
        <v/>
      </c>
      <c r="C48" s="24" t="n"/>
      <c r="D48" s="24" t="n"/>
      <c r="E48" s="23">
        <f>IF(OR(C48="",D48=""),"",ROUND((D48-C48)*1440,0))</f>
        <v/>
      </c>
      <c r="F48" s="23" t="n"/>
      <c r="G48" s="23" t="n"/>
      <c r="H48" s="23" t="n"/>
      <c r="I48" s="23" t="n"/>
      <c r="J48" s="23" t="n"/>
      <c r="K48" s="25" t="n"/>
      <c r="L48" s="23" t="n"/>
      <c r="M48" s="23" t="n"/>
    </row>
    <row r="49">
      <c r="A49" s="26" t="n"/>
      <c r="B49" s="27">
        <f>IF(A49="","",TEXT(A49,"ddd"))</f>
        <v/>
      </c>
      <c r="C49" s="28" t="n"/>
      <c r="D49" s="28" t="n"/>
      <c r="E49" s="27">
        <f>IF(OR(C49="",D49=""),"",ROUND((D49-C49)*1440,0))</f>
        <v/>
      </c>
      <c r="F49" s="27" t="n"/>
      <c r="G49" s="27" t="n"/>
      <c r="H49" s="27" t="n"/>
      <c r="I49" s="27" t="n"/>
      <c r="J49" s="27" t="n"/>
      <c r="K49" s="29" t="n"/>
      <c r="L49" s="27" t="n"/>
      <c r="M49" s="27" t="n"/>
    </row>
    <row r="50">
      <c r="A50" s="22" t="n"/>
      <c r="B50" s="23">
        <f>IF(A50="","",TEXT(A50,"ddd"))</f>
        <v/>
      </c>
      <c r="C50" s="24" t="n"/>
      <c r="D50" s="24" t="n"/>
      <c r="E50" s="23">
        <f>IF(OR(C50="",D50=""),"",ROUND((D50-C50)*1440,0))</f>
        <v/>
      </c>
      <c r="F50" s="23" t="n"/>
      <c r="G50" s="23" t="n"/>
      <c r="H50" s="23" t="n"/>
      <c r="I50" s="23" t="n"/>
      <c r="J50" s="23" t="n"/>
      <c r="K50" s="25" t="n"/>
      <c r="L50" s="23" t="n"/>
      <c r="M50" s="23" t="n"/>
    </row>
    <row r="51">
      <c r="A51" s="26" t="n"/>
      <c r="B51" s="27">
        <f>IF(A51="","",TEXT(A51,"ddd"))</f>
        <v/>
      </c>
      <c r="C51" s="28" t="n"/>
      <c r="D51" s="28" t="n"/>
      <c r="E51" s="27">
        <f>IF(OR(C51="",D51=""),"",ROUND((D51-C51)*1440,0))</f>
        <v/>
      </c>
      <c r="F51" s="27" t="n"/>
      <c r="G51" s="27" t="n"/>
      <c r="H51" s="27" t="n"/>
      <c r="I51" s="27" t="n"/>
      <c r="J51" s="27" t="n"/>
      <c r="K51" s="29" t="n"/>
      <c r="L51" s="27" t="n"/>
      <c r="M51" s="27" t="n"/>
    </row>
    <row r="52">
      <c r="A52" s="22" t="n"/>
      <c r="B52" s="23">
        <f>IF(A52="","",TEXT(A52,"ddd"))</f>
        <v/>
      </c>
      <c r="C52" s="24" t="n"/>
      <c r="D52" s="24" t="n"/>
      <c r="E52" s="23">
        <f>IF(OR(C52="",D52=""),"",ROUND((D52-C52)*1440,0))</f>
        <v/>
      </c>
      <c r="F52" s="23" t="n"/>
      <c r="G52" s="23" t="n"/>
      <c r="H52" s="23" t="n"/>
      <c r="I52" s="23" t="n"/>
      <c r="J52" s="23" t="n"/>
      <c r="K52" s="25" t="n"/>
      <c r="L52" s="23" t="n"/>
      <c r="M52" s="23" t="n"/>
    </row>
    <row r="53">
      <c r="A53" s="26" t="n"/>
      <c r="B53" s="27">
        <f>IF(A53="","",TEXT(A53,"ddd"))</f>
        <v/>
      </c>
      <c r="C53" s="28" t="n"/>
      <c r="D53" s="28" t="n"/>
      <c r="E53" s="27">
        <f>IF(OR(C53="",D53=""),"",ROUND((D53-C53)*1440,0))</f>
        <v/>
      </c>
      <c r="F53" s="27" t="n"/>
      <c r="G53" s="27" t="n"/>
      <c r="H53" s="27" t="n"/>
      <c r="I53" s="27" t="n"/>
      <c r="J53" s="27" t="n"/>
      <c r="K53" s="29" t="n"/>
      <c r="L53" s="27" t="n"/>
      <c r="M53" s="27" t="n"/>
    </row>
    <row r="54">
      <c r="A54" s="22" t="n"/>
      <c r="B54" s="23">
        <f>IF(A54="","",TEXT(A54,"ddd"))</f>
        <v/>
      </c>
      <c r="C54" s="24" t="n"/>
      <c r="D54" s="24" t="n"/>
      <c r="E54" s="23">
        <f>IF(OR(C54="",D54=""),"",ROUND((D54-C54)*1440,0))</f>
        <v/>
      </c>
      <c r="F54" s="23" t="n"/>
      <c r="G54" s="23" t="n"/>
      <c r="H54" s="23" t="n"/>
      <c r="I54" s="23" t="n"/>
      <c r="J54" s="23" t="n"/>
      <c r="K54" s="25" t="n"/>
      <c r="L54" s="23" t="n"/>
      <c r="M54" s="23" t="n"/>
    </row>
    <row r="55">
      <c r="A55" s="26" t="n"/>
      <c r="B55" s="27">
        <f>IF(A55="","",TEXT(A55,"ddd"))</f>
        <v/>
      </c>
      <c r="C55" s="28" t="n"/>
      <c r="D55" s="28" t="n"/>
      <c r="E55" s="27">
        <f>IF(OR(C55="",D55=""),"",ROUND((D55-C55)*1440,0))</f>
        <v/>
      </c>
      <c r="F55" s="27" t="n"/>
      <c r="G55" s="27" t="n"/>
      <c r="H55" s="27" t="n"/>
      <c r="I55" s="27" t="n"/>
      <c r="J55" s="27" t="n"/>
      <c r="K55" s="29" t="n"/>
      <c r="L55" s="27" t="n"/>
      <c r="M55" s="27" t="n"/>
    </row>
    <row r="56">
      <c r="A56" s="22" t="n"/>
      <c r="B56" s="23">
        <f>IF(A56="","",TEXT(A56,"ddd"))</f>
        <v/>
      </c>
      <c r="C56" s="24" t="n"/>
      <c r="D56" s="24" t="n"/>
      <c r="E56" s="23">
        <f>IF(OR(C56="",D56=""),"",ROUND((D56-C56)*1440,0))</f>
        <v/>
      </c>
      <c r="F56" s="23" t="n"/>
      <c r="G56" s="23" t="n"/>
      <c r="H56" s="23" t="n"/>
      <c r="I56" s="23" t="n"/>
      <c r="J56" s="23" t="n"/>
      <c r="K56" s="25" t="n"/>
      <c r="L56" s="23" t="n"/>
      <c r="M56" s="23" t="n"/>
    </row>
    <row r="57">
      <c r="A57" s="26" t="n"/>
      <c r="B57" s="27">
        <f>IF(A57="","",TEXT(A57,"ddd"))</f>
        <v/>
      </c>
      <c r="C57" s="28" t="n"/>
      <c r="D57" s="28" t="n"/>
      <c r="E57" s="27">
        <f>IF(OR(C57="",D57=""),"",ROUND((D57-C57)*1440,0))</f>
        <v/>
      </c>
      <c r="F57" s="27" t="n"/>
      <c r="G57" s="27" t="n"/>
      <c r="H57" s="27" t="n"/>
      <c r="I57" s="27" t="n"/>
      <c r="J57" s="27" t="n"/>
      <c r="K57" s="29" t="n"/>
      <c r="L57" s="27" t="n"/>
      <c r="M57" s="27" t="n"/>
    </row>
    <row r="58">
      <c r="A58" s="22" t="n"/>
      <c r="B58" s="23">
        <f>IF(A58="","",TEXT(A58,"ddd"))</f>
        <v/>
      </c>
      <c r="C58" s="24" t="n"/>
      <c r="D58" s="24" t="n"/>
      <c r="E58" s="23">
        <f>IF(OR(C58="",D58=""),"",ROUND((D58-C58)*1440,0))</f>
        <v/>
      </c>
      <c r="F58" s="23" t="n"/>
      <c r="G58" s="23" t="n"/>
      <c r="H58" s="23" t="n"/>
      <c r="I58" s="23" t="n"/>
      <c r="J58" s="23" t="n"/>
      <c r="K58" s="25" t="n"/>
      <c r="L58" s="23" t="n"/>
      <c r="M58" s="23" t="n"/>
    </row>
    <row r="59">
      <c r="A59" s="26" t="n"/>
      <c r="B59" s="27">
        <f>IF(A59="","",TEXT(A59,"ddd"))</f>
        <v/>
      </c>
      <c r="C59" s="28" t="n"/>
      <c r="D59" s="28" t="n"/>
      <c r="E59" s="27">
        <f>IF(OR(C59="",D59=""),"",ROUND((D59-C59)*1440,0))</f>
        <v/>
      </c>
      <c r="F59" s="27" t="n"/>
      <c r="G59" s="27" t="n"/>
      <c r="H59" s="27" t="n"/>
      <c r="I59" s="27" t="n"/>
      <c r="J59" s="27" t="n"/>
      <c r="K59" s="29" t="n"/>
      <c r="L59" s="27" t="n"/>
      <c r="M59" s="27" t="n"/>
    </row>
    <row r="60">
      <c r="A60" s="22" t="n"/>
      <c r="B60" s="23">
        <f>IF(A60="","",TEXT(A60,"ddd"))</f>
        <v/>
      </c>
      <c r="C60" s="24" t="n"/>
      <c r="D60" s="24" t="n"/>
      <c r="E60" s="23">
        <f>IF(OR(C60="",D60=""),"",ROUND((D60-C60)*1440,0))</f>
        <v/>
      </c>
      <c r="F60" s="23" t="n"/>
      <c r="G60" s="23" t="n"/>
      <c r="H60" s="23" t="n"/>
      <c r="I60" s="23" t="n"/>
      <c r="J60" s="23" t="n"/>
      <c r="K60" s="25" t="n"/>
      <c r="L60" s="23" t="n"/>
      <c r="M60" s="23" t="n"/>
    </row>
    <row r="61">
      <c r="A61" s="26" t="n"/>
      <c r="B61" s="27">
        <f>IF(A61="","",TEXT(A61,"ddd"))</f>
        <v/>
      </c>
      <c r="C61" s="28" t="n"/>
      <c r="D61" s="28" t="n"/>
      <c r="E61" s="27">
        <f>IF(OR(C61="",D61=""),"",ROUND((D61-C61)*1440,0))</f>
        <v/>
      </c>
      <c r="F61" s="27" t="n"/>
      <c r="G61" s="27" t="n"/>
      <c r="H61" s="27" t="n"/>
      <c r="I61" s="27" t="n"/>
      <c r="J61" s="27" t="n"/>
      <c r="K61" s="29" t="n"/>
      <c r="L61" s="27" t="n"/>
      <c r="M61" s="27" t="n"/>
    </row>
    <row r="62">
      <c r="A62" s="22" t="n"/>
      <c r="B62" s="23">
        <f>IF(A62="","",TEXT(A62,"ddd"))</f>
        <v/>
      </c>
      <c r="C62" s="24" t="n"/>
      <c r="D62" s="24" t="n"/>
      <c r="E62" s="23">
        <f>IF(OR(C62="",D62=""),"",ROUND((D62-C62)*1440,0))</f>
        <v/>
      </c>
      <c r="F62" s="23" t="n"/>
      <c r="G62" s="23" t="n"/>
      <c r="H62" s="23" t="n"/>
      <c r="I62" s="23" t="n"/>
      <c r="J62" s="23" t="n"/>
      <c r="K62" s="25" t="n"/>
      <c r="L62" s="23" t="n"/>
      <c r="M62" s="23" t="n"/>
    </row>
    <row r="63">
      <c r="A63" s="26" t="n"/>
      <c r="B63" s="27">
        <f>IF(A63="","",TEXT(A63,"ddd"))</f>
        <v/>
      </c>
      <c r="C63" s="28" t="n"/>
      <c r="D63" s="28" t="n"/>
      <c r="E63" s="27">
        <f>IF(OR(C63="",D63=""),"",ROUND((D63-C63)*1440,0))</f>
        <v/>
      </c>
      <c r="F63" s="27" t="n"/>
      <c r="G63" s="27" t="n"/>
      <c r="H63" s="27" t="n"/>
      <c r="I63" s="27" t="n"/>
      <c r="J63" s="27" t="n"/>
      <c r="K63" s="29" t="n"/>
      <c r="L63" s="27" t="n"/>
      <c r="M63" s="27" t="n"/>
    </row>
    <row r="64">
      <c r="A64" s="22" t="n"/>
      <c r="B64" s="23">
        <f>IF(A64="","",TEXT(A64,"ddd"))</f>
        <v/>
      </c>
      <c r="C64" s="24" t="n"/>
      <c r="D64" s="24" t="n"/>
      <c r="E64" s="23">
        <f>IF(OR(C64="",D64=""),"",ROUND((D64-C64)*1440,0))</f>
        <v/>
      </c>
      <c r="F64" s="23" t="n"/>
      <c r="G64" s="23" t="n"/>
      <c r="H64" s="23" t="n"/>
      <c r="I64" s="23" t="n"/>
      <c r="J64" s="23" t="n"/>
      <c r="K64" s="25" t="n"/>
      <c r="L64" s="23" t="n"/>
      <c r="M64" s="23" t="n"/>
    </row>
    <row r="65">
      <c r="A65" s="26" t="n"/>
      <c r="B65" s="27">
        <f>IF(A65="","",TEXT(A65,"ddd"))</f>
        <v/>
      </c>
      <c r="C65" s="28" t="n"/>
      <c r="D65" s="28" t="n"/>
      <c r="E65" s="27">
        <f>IF(OR(C65="",D65=""),"",ROUND((D65-C65)*1440,0))</f>
        <v/>
      </c>
      <c r="F65" s="27" t="n"/>
      <c r="G65" s="27" t="n"/>
      <c r="H65" s="27" t="n"/>
      <c r="I65" s="27" t="n"/>
      <c r="J65" s="27" t="n"/>
      <c r="K65" s="29" t="n"/>
      <c r="L65" s="27" t="n"/>
      <c r="M65" s="27" t="n"/>
    </row>
    <row r="66">
      <c r="A66" s="22" t="n"/>
      <c r="B66" s="23">
        <f>IF(A66="","",TEXT(A66,"ddd"))</f>
        <v/>
      </c>
      <c r="C66" s="24" t="n"/>
      <c r="D66" s="24" t="n"/>
      <c r="E66" s="23">
        <f>IF(OR(C66="",D66=""),"",ROUND((D66-C66)*1440,0))</f>
        <v/>
      </c>
      <c r="F66" s="23" t="n"/>
      <c r="G66" s="23" t="n"/>
      <c r="H66" s="23" t="n"/>
      <c r="I66" s="23" t="n"/>
      <c r="J66" s="23" t="n"/>
      <c r="K66" s="25" t="n"/>
      <c r="L66" s="23" t="n"/>
      <c r="M66" s="23" t="n"/>
    </row>
    <row r="67">
      <c r="A67" s="26" t="n"/>
      <c r="B67" s="27">
        <f>IF(A67="","",TEXT(A67,"ddd"))</f>
        <v/>
      </c>
      <c r="C67" s="28" t="n"/>
      <c r="D67" s="28" t="n"/>
      <c r="E67" s="27">
        <f>IF(OR(C67="",D67=""),"",ROUND((D67-C67)*1440,0))</f>
        <v/>
      </c>
      <c r="F67" s="27" t="n"/>
      <c r="G67" s="27" t="n"/>
      <c r="H67" s="27" t="n"/>
      <c r="I67" s="27" t="n"/>
      <c r="J67" s="27" t="n"/>
      <c r="K67" s="29" t="n"/>
      <c r="L67" s="27" t="n"/>
      <c r="M67" s="27" t="n"/>
    </row>
    <row r="68">
      <c r="A68" s="22" t="n"/>
      <c r="B68" s="23">
        <f>IF(A68="","",TEXT(A68,"ddd"))</f>
        <v/>
      </c>
      <c r="C68" s="24" t="n"/>
      <c r="D68" s="24" t="n"/>
      <c r="E68" s="23">
        <f>IF(OR(C68="",D68=""),"",ROUND((D68-C68)*1440,0))</f>
        <v/>
      </c>
      <c r="F68" s="23" t="n"/>
      <c r="G68" s="23" t="n"/>
      <c r="H68" s="23" t="n"/>
      <c r="I68" s="23" t="n"/>
      <c r="J68" s="23" t="n"/>
      <c r="K68" s="25" t="n"/>
      <c r="L68" s="23" t="n"/>
      <c r="M68" s="23" t="n"/>
    </row>
    <row r="69">
      <c r="A69" s="26" t="n"/>
      <c r="B69" s="27">
        <f>IF(A69="","",TEXT(A69,"ddd"))</f>
        <v/>
      </c>
      <c r="C69" s="28" t="n"/>
      <c r="D69" s="28" t="n"/>
      <c r="E69" s="27">
        <f>IF(OR(C69="",D69=""),"",ROUND((D69-C69)*1440,0))</f>
        <v/>
      </c>
      <c r="F69" s="27" t="n"/>
      <c r="G69" s="27" t="n"/>
      <c r="H69" s="27" t="n"/>
      <c r="I69" s="27" t="n"/>
      <c r="J69" s="27" t="n"/>
      <c r="K69" s="29" t="n"/>
      <c r="L69" s="27" t="n"/>
      <c r="M69" s="27" t="n"/>
    </row>
    <row r="70">
      <c r="A70" s="22" t="n"/>
      <c r="B70" s="23">
        <f>IF(A70="","",TEXT(A70,"ddd"))</f>
        <v/>
      </c>
      <c r="C70" s="24" t="n"/>
      <c r="D70" s="24" t="n"/>
      <c r="E70" s="23">
        <f>IF(OR(C70="",D70=""),"",ROUND((D70-C70)*1440,0))</f>
        <v/>
      </c>
      <c r="F70" s="23" t="n"/>
      <c r="G70" s="23" t="n"/>
      <c r="H70" s="23" t="n"/>
      <c r="I70" s="23" t="n"/>
      <c r="J70" s="23" t="n"/>
      <c r="K70" s="25" t="n"/>
      <c r="L70" s="23" t="n"/>
      <c r="M70" s="23" t="n"/>
    </row>
    <row r="71">
      <c r="A71" s="26" t="n"/>
      <c r="B71" s="27">
        <f>IF(A71="","",TEXT(A71,"ddd"))</f>
        <v/>
      </c>
      <c r="C71" s="28" t="n"/>
      <c r="D71" s="28" t="n"/>
      <c r="E71" s="27">
        <f>IF(OR(C71="",D71=""),"",ROUND((D71-C71)*1440,0))</f>
        <v/>
      </c>
      <c r="F71" s="27" t="n"/>
      <c r="G71" s="27" t="n"/>
      <c r="H71" s="27" t="n"/>
      <c r="I71" s="27" t="n"/>
      <c r="J71" s="27" t="n"/>
      <c r="K71" s="29" t="n"/>
      <c r="L71" s="27" t="n"/>
      <c r="M71" s="27" t="n"/>
    </row>
    <row r="72">
      <c r="A72" s="22" t="n"/>
      <c r="B72" s="23">
        <f>IF(A72="","",TEXT(A72,"ddd"))</f>
        <v/>
      </c>
      <c r="C72" s="24" t="n"/>
      <c r="D72" s="24" t="n"/>
      <c r="E72" s="23">
        <f>IF(OR(C72="",D72=""),"",ROUND((D72-C72)*1440,0))</f>
        <v/>
      </c>
      <c r="F72" s="23" t="n"/>
      <c r="G72" s="23" t="n"/>
      <c r="H72" s="23" t="n"/>
      <c r="I72" s="23" t="n"/>
      <c r="J72" s="23" t="n"/>
      <c r="K72" s="25" t="n"/>
      <c r="L72" s="23" t="n"/>
      <c r="M72" s="23" t="n"/>
    </row>
    <row r="73">
      <c r="A73" s="26" t="n"/>
      <c r="B73" s="27">
        <f>IF(A73="","",TEXT(A73,"ddd"))</f>
        <v/>
      </c>
      <c r="C73" s="28" t="n"/>
      <c r="D73" s="28" t="n"/>
      <c r="E73" s="27">
        <f>IF(OR(C73="",D73=""),"",ROUND((D73-C73)*1440,0))</f>
        <v/>
      </c>
      <c r="F73" s="27" t="n"/>
      <c r="G73" s="27" t="n"/>
      <c r="H73" s="27" t="n"/>
      <c r="I73" s="27" t="n"/>
      <c r="J73" s="27" t="n"/>
      <c r="K73" s="29" t="n"/>
      <c r="L73" s="27" t="n"/>
      <c r="M73" s="27" t="n"/>
    </row>
    <row r="74">
      <c r="A74" s="22" t="n"/>
      <c r="B74" s="23">
        <f>IF(A74="","",TEXT(A74,"ddd"))</f>
        <v/>
      </c>
      <c r="C74" s="24" t="n"/>
      <c r="D74" s="24" t="n"/>
      <c r="E74" s="23">
        <f>IF(OR(C74="",D74=""),"",ROUND((D74-C74)*1440,0))</f>
        <v/>
      </c>
      <c r="F74" s="23" t="n"/>
      <c r="G74" s="23" t="n"/>
      <c r="H74" s="23" t="n"/>
      <c r="I74" s="23" t="n"/>
      <c r="J74" s="23" t="n"/>
      <c r="K74" s="25" t="n"/>
      <c r="L74" s="23" t="n"/>
      <c r="M74" s="23" t="n"/>
    </row>
    <row r="75">
      <c r="A75" s="26" t="n"/>
      <c r="B75" s="27">
        <f>IF(A75="","",TEXT(A75,"ddd"))</f>
        <v/>
      </c>
      <c r="C75" s="28" t="n"/>
      <c r="D75" s="28" t="n"/>
      <c r="E75" s="27">
        <f>IF(OR(C75="",D75=""),"",ROUND((D75-C75)*1440,0))</f>
        <v/>
      </c>
      <c r="F75" s="27" t="n"/>
      <c r="G75" s="27" t="n"/>
      <c r="H75" s="27" t="n"/>
      <c r="I75" s="27" t="n"/>
      <c r="J75" s="27" t="n"/>
      <c r="K75" s="29" t="n"/>
      <c r="L75" s="27" t="n"/>
      <c r="M75" s="27" t="n"/>
    </row>
    <row r="76">
      <c r="A76" s="22" t="n"/>
      <c r="B76" s="23">
        <f>IF(A76="","",TEXT(A76,"ddd"))</f>
        <v/>
      </c>
      <c r="C76" s="24" t="n"/>
      <c r="D76" s="24" t="n"/>
      <c r="E76" s="23">
        <f>IF(OR(C76="",D76=""),"",ROUND((D76-C76)*1440,0))</f>
        <v/>
      </c>
      <c r="F76" s="23" t="n"/>
      <c r="G76" s="23" t="n"/>
      <c r="H76" s="23" t="n"/>
      <c r="I76" s="23" t="n"/>
      <c r="J76" s="23" t="n"/>
      <c r="K76" s="25" t="n"/>
      <c r="L76" s="23" t="n"/>
      <c r="M76" s="23" t="n"/>
    </row>
    <row r="77">
      <c r="A77" s="26" t="n"/>
      <c r="B77" s="27">
        <f>IF(A77="","",TEXT(A77,"ddd"))</f>
        <v/>
      </c>
      <c r="C77" s="28" t="n"/>
      <c r="D77" s="28" t="n"/>
      <c r="E77" s="27">
        <f>IF(OR(C77="",D77=""),"",ROUND((D77-C77)*1440,0))</f>
        <v/>
      </c>
      <c r="F77" s="27" t="n"/>
      <c r="G77" s="27" t="n"/>
      <c r="H77" s="27" t="n"/>
      <c r="I77" s="27" t="n"/>
      <c r="J77" s="27" t="n"/>
      <c r="K77" s="29" t="n"/>
      <c r="L77" s="27" t="n"/>
      <c r="M77" s="27" t="n"/>
    </row>
    <row r="78">
      <c r="A78" s="22" t="n"/>
      <c r="B78" s="23">
        <f>IF(A78="","",TEXT(A78,"ddd"))</f>
        <v/>
      </c>
      <c r="C78" s="24" t="n"/>
      <c r="D78" s="24" t="n"/>
      <c r="E78" s="23">
        <f>IF(OR(C78="",D78=""),"",ROUND((D78-C78)*1440,0))</f>
        <v/>
      </c>
      <c r="F78" s="23" t="n"/>
      <c r="G78" s="23" t="n"/>
      <c r="H78" s="23" t="n"/>
      <c r="I78" s="23" t="n"/>
      <c r="J78" s="23" t="n"/>
      <c r="K78" s="25" t="n"/>
      <c r="L78" s="23" t="n"/>
      <c r="M78" s="23" t="n"/>
    </row>
    <row r="79">
      <c r="A79" s="26" t="n"/>
      <c r="B79" s="27">
        <f>IF(A79="","",TEXT(A79,"ddd"))</f>
        <v/>
      </c>
      <c r="C79" s="28" t="n"/>
      <c r="D79" s="28" t="n"/>
      <c r="E79" s="27">
        <f>IF(OR(C79="",D79=""),"",ROUND((D79-C79)*1440,0))</f>
        <v/>
      </c>
      <c r="F79" s="27" t="n"/>
      <c r="G79" s="27" t="n"/>
      <c r="H79" s="27" t="n"/>
      <c r="I79" s="27" t="n"/>
      <c r="J79" s="27" t="n"/>
      <c r="K79" s="29" t="n"/>
      <c r="L79" s="27" t="n"/>
      <c r="M79" s="27" t="n"/>
    </row>
    <row r="80">
      <c r="A80" s="22" t="n"/>
      <c r="B80" s="23">
        <f>IF(A80="","",TEXT(A80,"ddd"))</f>
        <v/>
      </c>
      <c r="C80" s="24" t="n"/>
      <c r="D80" s="24" t="n"/>
      <c r="E80" s="23">
        <f>IF(OR(C80="",D80=""),"",ROUND((D80-C80)*1440,0))</f>
        <v/>
      </c>
      <c r="F80" s="23" t="n"/>
      <c r="G80" s="23" t="n"/>
      <c r="H80" s="23" t="n"/>
      <c r="I80" s="23" t="n"/>
      <c r="J80" s="23" t="n"/>
      <c r="K80" s="25" t="n"/>
      <c r="L80" s="23" t="n"/>
      <c r="M80" s="23" t="n"/>
    </row>
    <row r="81">
      <c r="A81" s="26" t="n"/>
      <c r="B81" s="27">
        <f>IF(A81="","",TEXT(A81,"ddd"))</f>
        <v/>
      </c>
      <c r="C81" s="28" t="n"/>
      <c r="D81" s="28" t="n"/>
      <c r="E81" s="27">
        <f>IF(OR(C81="",D81=""),"",ROUND((D81-C81)*1440,0))</f>
        <v/>
      </c>
      <c r="F81" s="27" t="n"/>
      <c r="G81" s="27" t="n"/>
      <c r="H81" s="27" t="n"/>
      <c r="I81" s="27" t="n"/>
      <c r="J81" s="27" t="n"/>
      <c r="K81" s="29" t="n"/>
      <c r="L81" s="27" t="n"/>
      <c r="M81" s="27" t="n"/>
    </row>
    <row r="82">
      <c r="A82" s="22" t="n"/>
      <c r="B82" s="23">
        <f>IF(A82="","",TEXT(A82,"ddd"))</f>
        <v/>
      </c>
      <c r="C82" s="24" t="n"/>
      <c r="D82" s="24" t="n"/>
      <c r="E82" s="23">
        <f>IF(OR(C82="",D82=""),"",ROUND((D82-C82)*1440,0))</f>
        <v/>
      </c>
      <c r="F82" s="23" t="n"/>
      <c r="G82" s="23" t="n"/>
      <c r="H82" s="23" t="n"/>
      <c r="I82" s="23" t="n"/>
      <c r="J82" s="23" t="n"/>
      <c r="K82" s="25" t="n"/>
      <c r="L82" s="23" t="n"/>
      <c r="M82" s="23" t="n"/>
    </row>
    <row r="83">
      <c r="A83" s="26" t="n"/>
      <c r="B83" s="27">
        <f>IF(A83="","",TEXT(A83,"ddd"))</f>
        <v/>
      </c>
      <c r="C83" s="28" t="n"/>
      <c r="D83" s="28" t="n"/>
      <c r="E83" s="27">
        <f>IF(OR(C83="",D83=""),"",ROUND((D83-C83)*1440,0))</f>
        <v/>
      </c>
      <c r="F83" s="27" t="n"/>
      <c r="G83" s="27" t="n"/>
      <c r="H83" s="27" t="n"/>
      <c r="I83" s="27" t="n"/>
      <c r="J83" s="27" t="n"/>
      <c r="K83" s="29" t="n"/>
      <c r="L83" s="27" t="n"/>
      <c r="M83" s="27" t="n"/>
    </row>
    <row r="84">
      <c r="A84" s="22" t="n"/>
      <c r="B84" s="23">
        <f>IF(A84="","",TEXT(A84,"ddd"))</f>
        <v/>
      </c>
      <c r="C84" s="24" t="n"/>
      <c r="D84" s="24" t="n"/>
      <c r="E84" s="23">
        <f>IF(OR(C84="",D84=""),"",ROUND((D84-C84)*1440,0))</f>
        <v/>
      </c>
      <c r="F84" s="23" t="n"/>
      <c r="G84" s="23" t="n"/>
      <c r="H84" s="23" t="n"/>
      <c r="I84" s="23" t="n"/>
      <c r="J84" s="23" t="n"/>
      <c r="K84" s="25" t="n"/>
      <c r="L84" s="23" t="n"/>
      <c r="M84" s="23" t="n"/>
    </row>
    <row r="85">
      <c r="A85" s="26" t="n"/>
      <c r="B85" s="27">
        <f>IF(A85="","",TEXT(A85,"ddd"))</f>
        <v/>
      </c>
      <c r="C85" s="28" t="n"/>
      <c r="D85" s="28" t="n"/>
      <c r="E85" s="27">
        <f>IF(OR(C85="",D85=""),"",ROUND((D85-C85)*1440,0))</f>
        <v/>
      </c>
      <c r="F85" s="27" t="n"/>
      <c r="G85" s="27" t="n"/>
      <c r="H85" s="27" t="n"/>
      <c r="I85" s="27" t="n"/>
      <c r="J85" s="27" t="n"/>
      <c r="K85" s="29" t="n"/>
      <c r="L85" s="27" t="n"/>
      <c r="M85" s="27" t="n"/>
    </row>
    <row r="86">
      <c r="A86" s="22" t="n"/>
      <c r="B86" s="23">
        <f>IF(A86="","",TEXT(A86,"ddd"))</f>
        <v/>
      </c>
      <c r="C86" s="24" t="n"/>
      <c r="D86" s="24" t="n"/>
      <c r="E86" s="23">
        <f>IF(OR(C86="",D86=""),"",ROUND((D86-C86)*1440,0))</f>
        <v/>
      </c>
      <c r="F86" s="23" t="n"/>
      <c r="G86" s="23" t="n"/>
      <c r="H86" s="23" t="n"/>
      <c r="I86" s="23" t="n"/>
      <c r="J86" s="23" t="n"/>
      <c r="K86" s="25" t="n"/>
      <c r="L86" s="23" t="n"/>
      <c r="M86" s="23" t="n"/>
    </row>
    <row r="87">
      <c r="A87" s="26" t="n"/>
      <c r="B87" s="27">
        <f>IF(A87="","",TEXT(A87,"ddd"))</f>
        <v/>
      </c>
      <c r="C87" s="28" t="n"/>
      <c r="D87" s="28" t="n"/>
      <c r="E87" s="27">
        <f>IF(OR(C87="",D87=""),"",ROUND((D87-C87)*1440,0))</f>
        <v/>
      </c>
      <c r="F87" s="27" t="n"/>
      <c r="G87" s="27" t="n"/>
      <c r="H87" s="27" t="n"/>
      <c r="I87" s="27" t="n"/>
      <c r="J87" s="27" t="n"/>
      <c r="K87" s="29" t="n"/>
      <c r="L87" s="27" t="n"/>
      <c r="M87" s="27" t="n"/>
    </row>
    <row r="88">
      <c r="A88" s="22" t="n"/>
      <c r="B88" s="23">
        <f>IF(A88="","",TEXT(A88,"ddd"))</f>
        <v/>
      </c>
      <c r="C88" s="24" t="n"/>
      <c r="D88" s="24" t="n"/>
      <c r="E88" s="23">
        <f>IF(OR(C88="",D88=""),"",ROUND((D88-C88)*1440,0))</f>
        <v/>
      </c>
      <c r="F88" s="23" t="n"/>
      <c r="G88" s="23" t="n"/>
      <c r="H88" s="23" t="n"/>
      <c r="I88" s="23" t="n"/>
      <c r="J88" s="23" t="n"/>
      <c r="K88" s="25" t="n"/>
      <c r="L88" s="23" t="n"/>
      <c r="M88" s="23" t="n"/>
    </row>
    <row r="89">
      <c r="A89" s="26" t="n"/>
      <c r="B89" s="27">
        <f>IF(A89="","",TEXT(A89,"ddd"))</f>
        <v/>
      </c>
      <c r="C89" s="28" t="n"/>
      <c r="D89" s="28" t="n"/>
      <c r="E89" s="27">
        <f>IF(OR(C89="",D89=""),"",ROUND((D89-C89)*1440,0))</f>
        <v/>
      </c>
      <c r="F89" s="27" t="n"/>
      <c r="G89" s="27" t="n"/>
      <c r="H89" s="27" t="n"/>
      <c r="I89" s="27" t="n"/>
      <c r="J89" s="27" t="n"/>
      <c r="K89" s="29" t="n"/>
      <c r="L89" s="27" t="n"/>
      <c r="M89" s="27" t="n"/>
    </row>
    <row r="90">
      <c r="A90" s="22" t="n"/>
      <c r="B90" s="23">
        <f>IF(A90="","",TEXT(A90,"ddd"))</f>
        <v/>
      </c>
      <c r="C90" s="24" t="n"/>
      <c r="D90" s="24" t="n"/>
      <c r="E90" s="23">
        <f>IF(OR(C90="",D90=""),"",ROUND((D90-C90)*1440,0))</f>
        <v/>
      </c>
      <c r="F90" s="23" t="n"/>
      <c r="G90" s="23" t="n"/>
      <c r="H90" s="23" t="n"/>
      <c r="I90" s="23" t="n"/>
      <c r="J90" s="23" t="n"/>
      <c r="K90" s="25" t="n"/>
      <c r="L90" s="23" t="n"/>
      <c r="M90" s="23" t="n"/>
    </row>
    <row r="91">
      <c r="A91" s="26" t="n"/>
      <c r="B91" s="27">
        <f>IF(A91="","",TEXT(A91,"ddd"))</f>
        <v/>
      </c>
      <c r="C91" s="28" t="n"/>
      <c r="D91" s="28" t="n"/>
      <c r="E91" s="27">
        <f>IF(OR(C91="",D91=""),"",ROUND((D91-C91)*1440,0))</f>
        <v/>
      </c>
      <c r="F91" s="27" t="n"/>
      <c r="G91" s="27" t="n"/>
      <c r="H91" s="27" t="n"/>
      <c r="I91" s="27" t="n"/>
      <c r="J91" s="27" t="n"/>
      <c r="K91" s="29" t="n"/>
      <c r="L91" s="27" t="n"/>
      <c r="M91" s="27" t="n"/>
    </row>
    <row r="92">
      <c r="A92" s="22" t="n"/>
      <c r="B92" s="23">
        <f>IF(A92="","",TEXT(A92,"ddd"))</f>
        <v/>
      </c>
      <c r="C92" s="24" t="n"/>
      <c r="D92" s="24" t="n"/>
      <c r="E92" s="23">
        <f>IF(OR(C92="",D92=""),"",ROUND((D92-C92)*1440,0))</f>
        <v/>
      </c>
      <c r="F92" s="23" t="n"/>
      <c r="G92" s="23" t="n"/>
      <c r="H92" s="23" t="n"/>
      <c r="I92" s="23" t="n"/>
      <c r="J92" s="23" t="n"/>
      <c r="K92" s="25" t="n"/>
      <c r="L92" s="23" t="n"/>
      <c r="M92" s="23" t="n"/>
    </row>
    <row r="93">
      <c r="A93" s="26" t="n"/>
      <c r="B93" s="27">
        <f>IF(A93="","",TEXT(A93,"ddd"))</f>
        <v/>
      </c>
      <c r="C93" s="28" t="n"/>
      <c r="D93" s="28" t="n"/>
      <c r="E93" s="27">
        <f>IF(OR(C93="",D93=""),"",ROUND((D93-C93)*1440,0))</f>
        <v/>
      </c>
      <c r="F93" s="27" t="n"/>
      <c r="G93" s="27" t="n"/>
      <c r="H93" s="27" t="n"/>
      <c r="I93" s="27" t="n"/>
      <c r="J93" s="27" t="n"/>
      <c r="K93" s="29" t="n"/>
      <c r="L93" s="27" t="n"/>
      <c r="M93" s="27" t="n"/>
    </row>
    <row r="94">
      <c r="A94" s="22" t="n"/>
      <c r="B94" s="23">
        <f>IF(A94="","",TEXT(A94,"ddd"))</f>
        <v/>
      </c>
      <c r="C94" s="24" t="n"/>
      <c r="D94" s="24" t="n"/>
      <c r="E94" s="23">
        <f>IF(OR(C94="",D94=""),"",ROUND((D94-C94)*1440,0))</f>
        <v/>
      </c>
      <c r="F94" s="23" t="n"/>
      <c r="G94" s="23" t="n"/>
      <c r="H94" s="23" t="n"/>
      <c r="I94" s="23" t="n"/>
      <c r="J94" s="23" t="n"/>
      <c r="K94" s="25" t="n"/>
      <c r="L94" s="23" t="n"/>
      <c r="M94" s="23" t="n"/>
    </row>
    <row r="95">
      <c r="A95" s="26" t="n"/>
      <c r="B95" s="27">
        <f>IF(A95="","",TEXT(A95,"ddd"))</f>
        <v/>
      </c>
      <c r="C95" s="28" t="n"/>
      <c r="D95" s="28" t="n"/>
      <c r="E95" s="27">
        <f>IF(OR(C95="",D95=""),"",ROUND((D95-C95)*1440,0))</f>
        <v/>
      </c>
      <c r="F95" s="27" t="n"/>
      <c r="G95" s="27" t="n"/>
      <c r="H95" s="27" t="n"/>
      <c r="I95" s="27" t="n"/>
      <c r="J95" s="27" t="n"/>
      <c r="K95" s="29" t="n"/>
      <c r="L95" s="27" t="n"/>
      <c r="M95" s="27" t="n"/>
    </row>
    <row r="96">
      <c r="A96" s="22" t="n"/>
      <c r="B96" s="23">
        <f>IF(A96="","",TEXT(A96,"ddd"))</f>
        <v/>
      </c>
      <c r="C96" s="24" t="n"/>
      <c r="D96" s="24" t="n"/>
      <c r="E96" s="23">
        <f>IF(OR(C96="",D96=""),"",ROUND((D96-C96)*1440,0))</f>
        <v/>
      </c>
      <c r="F96" s="23" t="n"/>
      <c r="G96" s="23" t="n"/>
      <c r="H96" s="23" t="n"/>
      <c r="I96" s="23" t="n"/>
      <c r="J96" s="23" t="n"/>
      <c r="K96" s="25" t="n"/>
      <c r="L96" s="23" t="n"/>
      <c r="M96" s="23" t="n"/>
    </row>
    <row r="97">
      <c r="A97" s="26" t="n"/>
      <c r="B97" s="27">
        <f>IF(A97="","",TEXT(A97,"ddd"))</f>
        <v/>
      </c>
      <c r="C97" s="28" t="n"/>
      <c r="D97" s="28" t="n"/>
      <c r="E97" s="27">
        <f>IF(OR(C97="",D97=""),"",ROUND((D97-C97)*1440,0))</f>
        <v/>
      </c>
      <c r="F97" s="27" t="n"/>
      <c r="G97" s="27" t="n"/>
      <c r="H97" s="27" t="n"/>
      <c r="I97" s="27" t="n"/>
      <c r="J97" s="27" t="n"/>
      <c r="K97" s="29" t="n"/>
      <c r="L97" s="27" t="n"/>
      <c r="M97" s="27" t="n"/>
    </row>
    <row r="98">
      <c r="A98" s="22" t="n"/>
      <c r="B98" s="23">
        <f>IF(A98="","",TEXT(A98,"ddd"))</f>
        <v/>
      </c>
      <c r="C98" s="24" t="n"/>
      <c r="D98" s="24" t="n"/>
      <c r="E98" s="23">
        <f>IF(OR(C98="",D98=""),"",ROUND((D98-C98)*1440,0))</f>
        <v/>
      </c>
      <c r="F98" s="23" t="n"/>
      <c r="G98" s="23" t="n"/>
      <c r="H98" s="23" t="n"/>
      <c r="I98" s="23" t="n"/>
      <c r="J98" s="23" t="n"/>
      <c r="K98" s="25" t="n"/>
      <c r="L98" s="23" t="n"/>
      <c r="M98" s="23" t="n"/>
    </row>
    <row r="99">
      <c r="A99" s="26" t="n"/>
      <c r="B99" s="27">
        <f>IF(A99="","",TEXT(A99,"ddd"))</f>
        <v/>
      </c>
      <c r="C99" s="28" t="n"/>
      <c r="D99" s="28" t="n"/>
      <c r="E99" s="27">
        <f>IF(OR(C99="",D99=""),"",ROUND((D99-C99)*1440,0))</f>
        <v/>
      </c>
      <c r="F99" s="27" t="n"/>
      <c r="G99" s="27" t="n"/>
      <c r="H99" s="27" t="n"/>
      <c r="I99" s="27" t="n"/>
      <c r="J99" s="27" t="n"/>
      <c r="K99" s="29" t="n"/>
      <c r="L99" s="27" t="n"/>
      <c r="M99" s="27" t="n"/>
    </row>
    <row r="100">
      <c r="A100" s="22" t="n"/>
      <c r="B100" s="23">
        <f>IF(A100="","",TEXT(A100,"ddd"))</f>
        <v/>
      </c>
      <c r="C100" s="24" t="n"/>
      <c r="D100" s="24" t="n"/>
      <c r="E100" s="23">
        <f>IF(OR(C100="",D100=""),"",ROUND((D100-C100)*1440,0))</f>
        <v/>
      </c>
      <c r="F100" s="23" t="n"/>
      <c r="G100" s="23" t="n"/>
      <c r="H100" s="23" t="n"/>
      <c r="I100" s="23" t="n"/>
      <c r="J100" s="23" t="n"/>
      <c r="K100" s="25" t="n"/>
      <c r="L100" s="23" t="n"/>
      <c r="M100" s="23" t="n"/>
    </row>
    <row r="101">
      <c r="A101" s="26" t="n"/>
      <c r="B101" s="27">
        <f>IF(A101="","",TEXT(A101,"ddd"))</f>
        <v/>
      </c>
      <c r="C101" s="28" t="n"/>
      <c r="D101" s="28" t="n"/>
      <c r="E101" s="27">
        <f>IF(OR(C101="",D101=""),"",ROUND((D101-C101)*1440,0))</f>
        <v/>
      </c>
      <c r="F101" s="27" t="n"/>
      <c r="G101" s="27" t="n"/>
      <c r="H101" s="27" t="n"/>
      <c r="I101" s="27" t="n"/>
      <c r="J101" s="27" t="n"/>
      <c r="K101" s="29" t="n"/>
      <c r="L101" s="27" t="n"/>
      <c r="M101" s="27" t="n"/>
    </row>
    <row r="102">
      <c r="A102" s="22" t="n"/>
      <c r="B102" s="23">
        <f>IF(A102="","",TEXT(A102,"ddd"))</f>
        <v/>
      </c>
      <c r="C102" s="24" t="n"/>
      <c r="D102" s="24" t="n"/>
      <c r="E102" s="23">
        <f>IF(OR(C102="",D102=""),"",ROUND((D102-C102)*1440,0))</f>
        <v/>
      </c>
      <c r="F102" s="23" t="n"/>
      <c r="G102" s="23" t="n"/>
      <c r="H102" s="23" t="n"/>
      <c r="I102" s="23" t="n"/>
      <c r="J102" s="23" t="n"/>
      <c r="K102" s="25" t="n"/>
      <c r="L102" s="23" t="n"/>
      <c r="M102" s="23" t="n"/>
    </row>
    <row r="103">
      <c r="A103" s="26" t="n"/>
      <c r="B103" s="27">
        <f>IF(A103="","",TEXT(A103,"ddd"))</f>
        <v/>
      </c>
      <c r="C103" s="28" t="n"/>
      <c r="D103" s="28" t="n"/>
      <c r="E103" s="27">
        <f>IF(OR(C103="",D103=""),"",ROUND((D103-C103)*1440,0))</f>
        <v/>
      </c>
      <c r="F103" s="27" t="n"/>
      <c r="G103" s="27" t="n"/>
      <c r="H103" s="27" t="n"/>
      <c r="I103" s="27" t="n"/>
      <c r="J103" s="27" t="n"/>
      <c r="K103" s="29" t="n"/>
      <c r="L103" s="27" t="n"/>
      <c r="M103" s="27" t="n"/>
    </row>
    <row r="104">
      <c r="A104" s="22" t="n"/>
      <c r="B104" s="23">
        <f>IF(A104="","",TEXT(A104,"ddd"))</f>
        <v/>
      </c>
      <c r="C104" s="24" t="n"/>
      <c r="D104" s="24" t="n"/>
      <c r="E104" s="23">
        <f>IF(OR(C104="",D104=""),"",ROUND((D104-C104)*1440,0))</f>
        <v/>
      </c>
      <c r="F104" s="23" t="n"/>
      <c r="G104" s="23" t="n"/>
      <c r="H104" s="23" t="n"/>
      <c r="I104" s="23" t="n"/>
      <c r="J104" s="23" t="n"/>
      <c r="K104" s="25" t="n"/>
      <c r="L104" s="23" t="n"/>
      <c r="M104" s="23" t="n"/>
    </row>
    <row r="105">
      <c r="A105" s="26" t="n"/>
      <c r="B105" s="27">
        <f>IF(A105="","",TEXT(A105,"ddd"))</f>
        <v/>
      </c>
      <c r="C105" s="28" t="n"/>
      <c r="D105" s="28" t="n"/>
      <c r="E105" s="27">
        <f>IF(OR(C105="",D105=""),"",ROUND((D105-C105)*1440,0))</f>
        <v/>
      </c>
      <c r="F105" s="27" t="n"/>
      <c r="G105" s="27" t="n"/>
      <c r="H105" s="27" t="n"/>
      <c r="I105" s="27" t="n"/>
      <c r="J105" s="27" t="n"/>
      <c r="K105" s="29" t="n"/>
      <c r="L105" s="27" t="n"/>
      <c r="M105" s="27" t="n"/>
    </row>
    <row r="106">
      <c r="A106" s="22" t="n"/>
      <c r="B106" s="23">
        <f>IF(A106="","",TEXT(A106,"ddd"))</f>
        <v/>
      </c>
      <c r="C106" s="24" t="n"/>
      <c r="D106" s="24" t="n"/>
      <c r="E106" s="23">
        <f>IF(OR(C106="",D106=""),"",ROUND((D106-C106)*1440,0))</f>
        <v/>
      </c>
      <c r="F106" s="23" t="n"/>
      <c r="G106" s="23" t="n"/>
      <c r="H106" s="23" t="n"/>
      <c r="I106" s="23" t="n"/>
      <c r="J106" s="23" t="n"/>
      <c r="K106" s="25" t="n"/>
      <c r="L106" s="23" t="n"/>
      <c r="M106" s="23" t="n"/>
    </row>
    <row r="107">
      <c r="A107" s="26" t="n"/>
      <c r="B107" s="27">
        <f>IF(A107="","",TEXT(A107,"ddd"))</f>
        <v/>
      </c>
      <c r="C107" s="28" t="n"/>
      <c r="D107" s="28" t="n"/>
      <c r="E107" s="27">
        <f>IF(OR(C107="",D107=""),"",ROUND((D107-C107)*1440,0))</f>
        <v/>
      </c>
      <c r="F107" s="27" t="n"/>
      <c r="G107" s="27" t="n"/>
      <c r="H107" s="27" t="n"/>
      <c r="I107" s="27" t="n"/>
      <c r="J107" s="27" t="n"/>
      <c r="K107" s="29" t="n"/>
      <c r="L107" s="27" t="n"/>
      <c r="M107" s="27" t="n"/>
    </row>
    <row r="108">
      <c r="A108" s="22" t="n"/>
      <c r="B108" s="23">
        <f>IF(A108="","",TEXT(A108,"ddd"))</f>
        <v/>
      </c>
      <c r="C108" s="24" t="n"/>
      <c r="D108" s="24" t="n"/>
      <c r="E108" s="23">
        <f>IF(OR(C108="",D108=""),"",ROUND((D108-C108)*1440,0))</f>
        <v/>
      </c>
      <c r="F108" s="23" t="n"/>
      <c r="G108" s="23" t="n"/>
      <c r="H108" s="23" t="n"/>
      <c r="I108" s="23" t="n"/>
      <c r="J108" s="23" t="n"/>
      <c r="K108" s="25" t="n"/>
      <c r="L108" s="23" t="n"/>
      <c r="M108" s="23" t="n"/>
    </row>
    <row r="109">
      <c r="A109" s="26" t="n"/>
      <c r="B109" s="27">
        <f>IF(A109="","",TEXT(A109,"ddd"))</f>
        <v/>
      </c>
      <c r="C109" s="28" t="n"/>
      <c r="D109" s="28" t="n"/>
      <c r="E109" s="27">
        <f>IF(OR(C109="",D109=""),"",ROUND((D109-C109)*1440,0))</f>
        <v/>
      </c>
      <c r="F109" s="27" t="n"/>
      <c r="G109" s="27" t="n"/>
      <c r="H109" s="27" t="n"/>
      <c r="I109" s="27" t="n"/>
      <c r="J109" s="27" t="n"/>
      <c r="K109" s="29" t="n"/>
      <c r="L109" s="27" t="n"/>
      <c r="M109" s="27" t="n"/>
    </row>
    <row r="110">
      <c r="A110" s="22" t="n"/>
      <c r="B110" s="23">
        <f>IF(A110="","",TEXT(A110,"ddd"))</f>
        <v/>
      </c>
      <c r="C110" s="24" t="n"/>
      <c r="D110" s="24" t="n"/>
      <c r="E110" s="23">
        <f>IF(OR(C110="",D110=""),"",ROUND((D110-C110)*1440,0))</f>
        <v/>
      </c>
      <c r="F110" s="23" t="n"/>
      <c r="G110" s="23" t="n"/>
      <c r="H110" s="23" t="n"/>
      <c r="I110" s="23" t="n"/>
      <c r="J110" s="23" t="n"/>
      <c r="K110" s="25" t="n"/>
      <c r="L110" s="23" t="n"/>
      <c r="M110" s="23" t="n"/>
    </row>
    <row r="111">
      <c r="A111" s="26" t="n"/>
      <c r="B111" s="27">
        <f>IF(A111="","",TEXT(A111,"ddd"))</f>
        <v/>
      </c>
      <c r="C111" s="28" t="n"/>
      <c r="D111" s="28" t="n"/>
      <c r="E111" s="27">
        <f>IF(OR(C111="",D111=""),"",ROUND((D111-C111)*1440,0))</f>
        <v/>
      </c>
      <c r="F111" s="27" t="n"/>
      <c r="G111" s="27" t="n"/>
      <c r="H111" s="27" t="n"/>
      <c r="I111" s="27" t="n"/>
      <c r="J111" s="27" t="n"/>
      <c r="K111" s="29" t="n"/>
      <c r="L111" s="27" t="n"/>
      <c r="M111" s="27" t="n"/>
    </row>
    <row r="112">
      <c r="A112" s="22" t="n"/>
      <c r="B112" s="23">
        <f>IF(A112="","",TEXT(A112,"ddd"))</f>
        <v/>
      </c>
      <c r="C112" s="24" t="n"/>
      <c r="D112" s="24" t="n"/>
      <c r="E112" s="23">
        <f>IF(OR(C112="",D112=""),"",ROUND((D112-C112)*1440,0))</f>
        <v/>
      </c>
      <c r="F112" s="23" t="n"/>
      <c r="G112" s="23" t="n"/>
      <c r="H112" s="23" t="n"/>
      <c r="I112" s="23" t="n"/>
      <c r="J112" s="23" t="n"/>
      <c r="K112" s="25" t="n"/>
      <c r="L112" s="23" t="n"/>
      <c r="M112" s="23" t="n"/>
    </row>
    <row r="113">
      <c r="A113" s="26" t="n"/>
      <c r="B113" s="27">
        <f>IF(A113="","",TEXT(A113,"ddd"))</f>
        <v/>
      </c>
      <c r="C113" s="28" t="n"/>
      <c r="D113" s="28" t="n"/>
      <c r="E113" s="27">
        <f>IF(OR(C113="",D113=""),"",ROUND((D113-C113)*1440,0))</f>
        <v/>
      </c>
      <c r="F113" s="27" t="n"/>
      <c r="G113" s="27" t="n"/>
      <c r="H113" s="27" t="n"/>
      <c r="I113" s="27" t="n"/>
      <c r="J113" s="27" t="n"/>
      <c r="K113" s="29" t="n"/>
      <c r="L113" s="27" t="n"/>
      <c r="M113" s="27" t="n"/>
    </row>
    <row r="114">
      <c r="A114" s="22" t="n"/>
      <c r="B114" s="23">
        <f>IF(A114="","",TEXT(A114,"ddd"))</f>
        <v/>
      </c>
      <c r="C114" s="24" t="n"/>
      <c r="D114" s="24" t="n"/>
      <c r="E114" s="23">
        <f>IF(OR(C114="",D114=""),"",ROUND((D114-C114)*1440,0))</f>
        <v/>
      </c>
      <c r="F114" s="23" t="n"/>
      <c r="G114" s="23" t="n"/>
      <c r="H114" s="23" t="n"/>
      <c r="I114" s="23" t="n"/>
      <c r="J114" s="23" t="n"/>
      <c r="K114" s="25" t="n"/>
      <c r="L114" s="23" t="n"/>
      <c r="M114" s="23" t="n"/>
    </row>
    <row r="115">
      <c r="A115" s="26" t="n"/>
      <c r="B115" s="27">
        <f>IF(A115="","",TEXT(A115,"ddd"))</f>
        <v/>
      </c>
      <c r="C115" s="28" t="n"/>
      <c r="D115" s="28" t="n"/>
      <c r="E115" s="27">
        <f>IF(OR(C115="",D115=""),"",ROUND((D115-C115)*1440,0))</f>
        <v/>
      </c>
      <c r="F115" s="27" t="n"/>
      <c r="G115" s="27" t="n"/>
      <c r="H115" s="27" t="n"/>
      <c r="I115" s="27" t="n"/>
      <c r="J115" s="27" t="n"/>
      <c r="K115" s="29" t="n"/>
      <c r="L115" s="27" t="n"/>
      <c r="M115" s="27" t="n"/>
    </row>
    <row r="116">
      <c r="A116" s="22" t="n"/>
      <c r="B116" s="23">
        <f>IF(A116="","",TEXT(A116,"ddd"))</f>
        <v/>
      </c>
      <c r="C116" s="24" t="n"/>
      <c r="D116" s="24" t="n"/>
      <c r="E116" s="23">
        <f>IF(OR(C116="",D116=""),"",ROUND((D116-C116)*1440,0))</f>
        <v/>
      </c>
      <c r="F116" s="23" t="n"/>
      <c r="G116" s="23" t="n"/>
      <c r="H116" s="23" t="n"/>
      <c r="I116" s="23" t="n"/>
      <c r="J116" s="23" t="n"/>
      <c r="K116" s="25" t="n"/>
      <c r="L116" s="23" t="n"/>
      <c r="M116" s="23" t="n"/>
    </row>
    <row r="117">
      <c r="A117" s="26" t="n"/>
      <c r="B117" s="27">
        <f>IF(A117="","",TEXT(A117,"ddd"))</f>
        <v/>
      </c>
      <c r="C117" s="28" t="n"/>
      <c r="D117" s="28" t="n"/>
      <c r="E117" s="27">
        <f>IF(OR(C117="",D117=""),"",ROUND((D117-C117)*1440,0))</f>
        <v/>
      </c>
      <c r="F117" s="27" t="n"/>
      <c r="G117" s="27" t="n"/>
      <c r="H117" s="27" t="n"/>
      <c r="I117" s="27" t="n"/>
      <c r="J117" s="27" t="n"/>
      <c r="K117" s="29" t="n"/>
      <c r="L117" s="27" t="n"/>
      <c r="M117" s="27" t="n"/>
    </row>
    <row r="118">
      <c r="A118" s="22" t="n"/>
      <c r="B118" s="23">
        <f>IF(A118="","",TEXT(A118,"ddd"))</f>
        <v/>
      </c>
      <c r="C118" s="24" t="n"/>
      <c r="D118" s="24" t="n"/>
      <c r="E118" s="23">
        <f>IF(OR(C118="",D118=""),"",ROUND((D118-C118)*1440,0))</f>
        <v/>
      </c>
      <c r="F118" s="23" t="n"/>
      <c r="G118" s="23" t="n"/>
      <c r="H118" s="23" t="n"/>
      <c r="I118" s="23" t="n"/>
      <c r="J118" s="23" t="n"/>
      <c r="K118" s="25" t="n"/>
      <c r="L118" s="23" t="n"/>
      <c r="M118" s="23" t="n"/>
    </row>
    <row r="119">
      <c r="A119" s="26" t="n"/>
      <c r="B119" s="27">
        <f>IF(A119="","",TEXT(A119,"ddd"))</f>
        <v/>
      </c>
      <c r="C119" s="28" t="n"/>
      <c r="D119" s="28" t="n"/>
      <c r="E119" s="27">
        <f>IF(OR(C119="",D119=""),"",ROUND((D119-C119)*1440,0))</f>
        <v/>
      </c>
      <c r="F119" s="27" t="n"/>
      <c r="G119" s="27" t="n"/>
      <c r="H119" s="27" t="n"/>
      <c r="I119" s="27" t="n"/>
      <c r="J119" s="27" t="n"/>
      <c r="K119" s="29" t="n"/>
      <c r="L119" s="27" t="n"/>
      <c r="M119" s="27" t="n"/>
    </row>
    <row r="120">
      <c r="A120" s="22" t="n"/>
      <c r="B120" s="23">
        <f>IF(A120="","",TEXT(A120,"ddd"))</f>
        <v/>
      </c>
      <c r="C120" s="24" t="n"/>
      <c r="D120" s="24" t="n"/>
      <c r="E120" s="23">
        <f>IF(OR(C120="",D120=""),"",ROUND((D120-C120)*1440,0))</f>
        <v/>
      </c>
      <c r="F120" s="23" t="n"/>
      <c r="G120" s="23" t="n"/>
      <c r="H120" s="23" t="n"/>
      <c r="I120" s="23" t="n"/>
      <c r="J120" s="23" t="n"/>
      <c r="K120" s="25" t="n"/>
      <c r="L120" s="23" t="n"/>
      <c r="M120" s="23" t="n"/>
    </row>
    <row r="121">
      <c r="A121" s="26" t="n"/>
      <c r="B121" s="27">
        <f>IF(A121="","",TEXT(A121,"ddd"))</f>
        <v/>
      </c>
      <c r="C121" s="28" t="n"/>
      <c r="D121" s="28" t="n"/>
      <c r="E121" s="27">
        <f>IF(OR(C121="",D121=""),"",ROUND((D121-C121)*1440,0))</f>
        <v/>
      </c>
      <c r="F121" s="27" t="n"/>
      <c r="G121" s="27" t="n"/>
      <c r="H121" s="27" t="n"/>
      <c r="I121" s="27" t="n"/>
      <c r="J121" s="27" t="n"/>
      <c r="K121" s="29" t="n"/>
      <c r="L121" s="27" t="n"/>
      <c r="M121" s="27" t="n"/>
    </row>
    <row r="122">
      <c r="A122" s="22" t="n"/>
      <c r="B122" s="23">
        <f>IF(A122="","",TEXT(A122,"ddd"))</f>
        <v/>
      </c>
      <c r="C122" s="24" t="n"/>
      <c r="D122" s="24" t="n"/>
      <c r="E122" s="23">
        <f>IF(OR(C122="",D122=""),"",ROUND((D122-C122)*1440,0))</f>
        <v/>
      </c>
      <c r="F122" s="23" t="n"/>
      <c r="G122" s="23" t="n"/>
      <c r="H122" s="23" t="n"/>
      <c r="I122" s="23" t="n"/>
      <c r="J122" s="23" t="n"/>
      <c r="K122" s="25" t="n"/>
      <c r="L122" s="23" t="n"/>
      <c r="M122" s="23" t="n"/>
    </row>
    <row r="123">
      <c r="A123" s="26" t="n"/>
      <c r="B123" s="27">
        <f>IF(A123="","",TEXT(A123,"ddd"))</f>
        <v/>
      </c>
      <c r="C123" s="28" t="n"/>
      <c r="D123" s="28" t="n"/>
      <c r="E123" s="27">
        <f>IF(OR(C123="",D123=""),"",ROUND((D123-C123)*1440,0))</f>
        <v/>
      </c>
      <c r="F123" s="27" t="n"/>
      <c r="G123" s="27" t="n"/>
      <c r="H123" s="27" t="n"/>
      <c r="I123" s="27" t="n"/>
      <c r="J123" s="27" t="n"/>
      <c r="K123" s="29" t="n"/>
      <c r="L123" s="27" t="n"/>
      <c r="M123" s="27" t="n"/>
    </row>
    <row r="124">
      <c r="A124" s="22" t="n"/>
      <c r="B124" s="23">
        <f>IF(A124="","",TEXT(A124,"ddd"))</f>
        <v/>
      </c>
      <c r="C124" s="24" t="n"/>
      <c r="D124" s="24" t="n"/>
      <c r="E124" s="23">
        <f>IF(OR(C124="",D124=""),"",ROUND((D124-C124)*1440,0))</f>
        <v/>
      </c>
      <c r="F124" s="23" t="n"/>
      <c r="G124" s="23" t="n"/>
      <c r="H124" s="23" t="n"/>
      <c r="I124" s="23" t="n"/>
      <c r="J124" s="23" t="n"/>
      <c r="K124" s="25" t="n"/>
      <c r="L124" s="23" t="n"/>
      <c r="M124" s="23" t="n"/>
    </row>
    <row r="125">
      <c r="A125" s="26" t="n"/>
      <c r="B125" s="27">
        <f>IF(A125="","",TEXT(A125,"ddd"))</f>
        <v/>
      </c>
      <c r="C125" s="28" t="n"/>
      <c r="D125" s="28" t="n"/>
      <c r="E125" s="27">
        <f>IF(OR(C125="",D125=""),"",ROUND((D125-C125)*1440,0))</f>
        <v/>
      </c>
      <c r="F125" s="27" t="n"/>
      <c r="G125" s="27" t="n"/>
      <c r="H125" s="27" t="n"/>
      <c r="I125" s="27" t="n"/>
      <c r="J125" s="27" t="n"/>
      <c r="K125" s="29" t="n"/>
      <c r="L125" s="27" t="n"/>
      <c r="M125" s="27" t="n"/>
    </row>
    <row r="126">
      <c r="A126" s="22" t="n"/>
      <c r="B126" s="23">
        <f>IF(A126="","",TEXT(A126,"ddd"))</f>
        <v/>
      </c>
      <c r="C126" s="24" t="n"/>
      <c r="D126" s="24" t="n"/>
      <c r="E126" s="23">
        <f>IF(OR(C126="",D126=""),"",ROUND((D126-C126)*1440,0))</f>
        <v/>
      </c>
      <c r="F126" s="23" t="n"/>
      <c r="G126" s="23" t="n"/>
      <c r="H126" s="23" t="n"/>
      <c r="I126" s="23" t="n"/>
      <c r="J126" s="23" t="n"/>
      <c r="K126" s="25" t="n"/>
      <c r="L126" s="23" t="n"/>
      <c r="M126" s="23" t="n"/>
    </row>
    <row r="127">
      <c r="A127" s="26" t="n"/>
      <c r="B127" s="27">
        <f>IF(A127="","",TEXT(A127,"ddd"))</f>
        <v/>
      </c>
      <c r="C127" s="28" t="n"/>
      <c r="D127" s="28" t="n"/>
      <c r="E127" s="27">
        <f>IF(OR(C127="",D127=""),"",ROUND((D127-C127)*1440,0))</f>
        <v/>
      </c>
      <c r="F127" s="27" t="n"/>
      <c r="G127" s="27" t="n"/>
      <c r="H127" s="27" t="n"/>
      <c r="I127" s="27" t="n"/>
      <c r="J127" s="27" t="n"/>
      <c r="K127" s="29" t="n"/>
      <c r="L127" s="27" t="n"/>
      <c r="M127" s="27" t="n"/>
    </row>
    <row r="128">
      <c r="A128" s="22" t="n"/>
      <c r="B128" s="23">
        <f>IF(A128="","",TEXT(A128,"ddd"))</f>
        <v/>
      </c>
      <c r="C128" s="24" t="n"/>
      <c r="D128" s="24" t="n"/>
      <c r="E128" s="23">
        <f>IF(OR(C128="",D128=""),"",ROUND((D128-C128)*1440,0))</f>
        <v/>
      </c>
      <c r="F128" s="23" t="n"/>
      <c r="G128" s="23" t="n"/>
      <c r="H128" s="23" t="n"/>
      <c r="I128" s="23" t="n"/>
      <c r="J128" s="23" t="n"/>
      <c r="K128" s="25" t="n"/>
      <c r="L128" s="23" t="n"/>
      <c r="M128" s="23" t="n"/>
    </row>
    <row r="129">
      <c r="A129" s="26" t="n"/>
      <c r="B129" s="27">
        <f>IF(A129="","",TEXT(A129,"ddd"))</f>
        <v/>
      </c>
      <c r="C129" s="28" t="n"/>
      <c r="D129" s="28" t="n"/>
      <c r="E129" s="27">
        <f>IF(OR(C129="",D129=""),"",ROUND((D129-C129)*1440,0))</f>
        <v/>
      </c>
      <c r="F129" s="27" t="n"/>
      <c r="G129" s="27" t="n"/>
      <c r="H129" s="27" t="n"/>
      <c r="I129" s="27" t="n"/>
      <c r="J129" s="27" t="n"/>
      <c r="K129" s="29" t="n"/>
      <c r="L129" s="27" t="n"/>
      <c r="M129" s="27" t="n"/>
    </row>
    <row r="130">
      <c r="A130" s="22" t="n"/>
      <c r="B130" s="23">
        <f>IF(A130="","",TEXT(A130,"ddd"))</f>
        <v/>
      </c>
      <c r="C130" s="24" t="n"/>
      <c r="D130" s="24" t="n"/>
      <c r="E130" s="23">
        <f>IF(OR(C130="",D130=""),"",ROUND((D130-C130)*1440,0))</f>
        <v/>
      </c>
      <c r="F130" s="23" t="n"/>
      <c r="G130" s="23" t="n"/>
      <c r="H130" s="23" t="n"/>
      <c r="I130" s="23" t="n"/>
      <c r="J130" s="23" t="n"/>
      <c r="K130" s="25" t="n"/>
      <c r="L130" s="23" t="n"/>
      <c r="M130" s="23" t="n"/>
    </row>
    <row r="131">
      <c r="A131" s="26" t="n"/>
      <c r="B131" s="27">
        <f>IF(A131="","",TEXT(A131,"ddd"))</f>
        <v/>
      </c>
      <c r="C131" s="28" t="n"/>
      <c r="D131" s="28" t="n"/>
      <c r="E131" s="27">
        <f>IF(OR(C131="",D131=""),"",ROUND((D131-C131)*1440,0))</f>
        <v/>
      </c>
      <c r="F131" s="27" t="n"/>
      <c r="G131" s="27" t="n"/>
      <c r="H131" s="27" t="n"/>
      <c r="I131" s="27" t="n"/>
      <c r="J131" s="27" t="n"/>
      <c r="K131" s="29" t="n"/>
      <c r="L131" s="27" t="n"/>
      <c r="M131" s="27" t="n"/>
    </row>
    <row r="132">
      <c r="A132" s="22" t="n"/>
      <c r="B132" s="23">
        <f>IF(A132="","",TEXT(A132,"ddd"))</f>
        <v/>
      </c>
      <c r="C132" s="24" t="n"/>
      <c r="D132" s="24" t="n"/>
      <c r="E132" s="23">
        <f>IF(OR(C132="",D132=""),"",ROUND((D132-C132)*1440,0))</f>
        <v/>
      </c>
      <c r="F132" s="23" t="n"/>
      <c r="G132" s="23" t="n"/>
      <c r="H132" s="23" t="n"/>
      <c r="I132" s="23" t="n"/>
      <c r="J132" s="23" t="n"/>
      <c r="K132" s="25" t="n"/>
      <c r="L132" s="23" t="n"/>
      <c r="M132" s="23" t="n"/>
    </row>
    <row r="133">
      <c r="A133" s="26" t="n"/>
      <c r="B133" s="27">
        <f>IF(A133="","",TEXT(A133,"ddd"))</f>
        <v/>
      </c>
      <c r="C133" s="28" t="n"/>
      <c r="D133" s="28" t="n"/>
      <c r="E133" s="27">
        <f>IF(OR(C133="",D133=""),"",ROUND((D133-C133)*1440,0))</f>
        <v/>
      </c>
      <c r="F133" s="27" t="n"/>
      <c r="G133" s="27" t="n"/>
      <c r="H133" s="27" t="n"/>
      <c r="I133" s="27" t="n"/>
      <c r="J133" s="27" t="n"/>
      <c r="K133" s="29" t="n"/>
      <c r="L133" s="27" t="n"/>
      <c r="M133" s="27" t="n"/>
    </row>
    <row r="134">
      <c r="A134" s="22" t="n"/>
      <c r="B134" s="23">
        <f>IF(A134="","",TEXT(A134,"ddd"))</f>
        <v/>
      </c>
      <c r="C134" s="24" t="n"/>
      <c r="D134" s="24" t="n"/>
      <c r="E134" s="23">
        <f>IF(OR(C134="",D134=""),"",ROUND((D134-C134)*1440,0))</f>
        <v/>
      </c>
      <c r="F134" s="23" t="n"/>
      <c r="G134" s="23" t="n"/>
      <c r="H134" s="23" t="n"/>
      <c r="I134" s="23" t="n"/>
      <c r="J134" s="23" t="n"/>
      <c r="K134" s="25" t="n"/>
      <c r="L134" s="23" t="n"/>
      <c r="M134" s="23" t="n"/>
    </row>
    <row r="135">
      <c r="A135" s="26" t="n"/>
      <c r="B135" s="27">
        <f>IF(A135="","",TEXT(A135,"ddd"))</f>
        <v/>
      </c>
      <c r="C135" s="28" t="n"/>
      <c r="D135" s="28" t="n"/>
      <c r="E135" s="27">
        <f>IF(OR(C135="",D135=""),"",ROUND((D135-C135)*1440,0))</f>
        <v/>
      </c>
      <c r="F135" s="27" t="n"/>
      <c r="G135" s="27" t="n"/>
      <c r="H135" s="27" t="n"/>
      <c r="I135" s="27" t="n"/>
      <c r="J135" s="27" t="n"/>
      <c r="K135" s="29" t="n"/>
      <c r="L135" s="27" t="n"/>
      <c r="M135" s="27" t="n"/>
    </row>
    <row r="136">
      <c r="A136" s="22" t="n"/>
      <c r="B136" s="23">
        <f>IF(A136="","",TEXT(A136,"ddd"))</f>
        <v/>
      </c>
      <c r="C136" s="24" t="n"/>
      <c r="D136" s="24" t="n"/>
      <c r="E136" s="23">
        <f>IF(OR(C136="",D136=""),"",ROUND((D136-C136)*1440,0))</f>
        <v/>
      </c>
      <c r="F136" s="23" t="n"/>
      <c r="G136" s="23" t="n"/>
      <c r="H136" s="23" t="n"/>
      <c r="I136" s="23" t="n"/>
      <c r="J136" s="23" t="n"/>
      <c r="K136" s="25" t="n"/>
      <c r="L136" s="23" t="n"/>
      <c r="M136" s="23" t="n"/>
    </row>
    <row r="137">
      <c r="A137" s="26" t="n"/>
      <c r="B137" s="27">
        <f>IF(A137="","",TEXT(A137,"ddd"))</f>
        <v/>
      </c>
      <c r="C137" s="28" t="n"/>
      <c r="D137" s="28" t="n"/>
      <c r="E137" s="27">
        <f>IF(OR(C137="",D137=""),"",ROUND((D137-C137)*1440,0))</f>
        <v/>
      </c>
      <c r="F137" s="27" t="n"/>
      <c r="G137" s="27" t="n"/>
      <c r="H137" s="27" t="n"/>
      <c r="I137" s="27" t="n"/>
      <c r="J137" s="27" t="n"/>
      <c r="K137" s="29" t="n"/>
      <c r="L137" s="27" t="n"/>
      <c r="M137" s="27" t="n"/>
    </row>
    <row r="138">
      <c r="A138" s="22" t="n"/>
      <c r="B138" s="23">
        <f>IF(A138="","",TEXT(A138,"ddd"))</f>
        <v/>
      </c>
      <c r="C138" s="24" t="n"/>
      <c r="D138" s="24" t="n"/>
      <c r="E138" s="23">
        <f>IF(OR(C138="",D138=""),"",ROUND((D138-C138)*1440,0))</f>
        <v/>
      </c>
      <c r="F138" s="23" t="n"/>
      <c r="G138" s="23" t="n"/>
      <c r="H138" s="23" t="n"/>
      <c r="I138" s="23" t="n"/>
      <c r="J138" s="23" t="n"/>
      <c r="K138" s="25" t="n"/>
      <c r="L138" s="23" t="n"/>
      <c r="M138" s="23" t="n"/>
    </row>
    <row r="139">
      <c r="A139" s="26" t="n"/>
      <c r="B139" s="27">
        <f>IF(A139="","",TEXT(A139,"ddd"))</f>
        <v/>
      </c>
      <c r="C139" s="28" t="n"/>
      <c r="D139" s="28" t="n"/>
      <c r="E139" s="27">
        <f>IF(OR(C139="",D139=""),"",ROUND((D139-C139)*1440,0))</f>
        <v/>
      </c>
      <c r="F139" s="27" t="n"/>
      <c r="G139" s="27" t="n"/>
      <c r="H139" s="27" t="n"/>
      <c r="I139" s="27" t="n"/>
      <c r="J139" s="27" t="n"/>
      <c r="K139" s="29" t="n"/>
      <c r="L139" s="27" t="n"/>
      <c r="M139" s="27" t="n"/>
    </row>
    <row r="140">
      <c r="A140" s="22" t="n"/>
      <c r="B140" s="23">
        <f>IF(A140="","",TEXT(A140,"ddd"))</f>
        <v/>
      </c>
      <c r="C140" s="24" t="n"/>
      <c r="D140" s="24" t="n"/>
      <c r="E140" s="23">
        <f>IF(OR(C140="",D140=""),"",ROUND((D140-C140)*1440,0))</f>
        <v/>
      </c>
      <c r="F140" s="23" t="n"/>
      <c r="G140" s="23" t="n"/>
      <c r="H140" s="23" t="n"/>
      <c r="I140" s="23" t="n"/>
      <c r="J140" s="23" t="n"/>
      <c r="K140" s="25" t="n"/>
      <c r="L140" s="23" t="n"/>
      <c r="M140" s="23" t="n"/>
    </row>
    <row r="141">
      <c r="A141" s="26" t="n"/>
      <c r="B141" s="27">
        <f>IF(A141="","",TEXT(A141,"ddd"))</f>
        <v/>
      </c>
      <c r="C141" s="28" t="n"/>
      <c r="D141" s="28" t="n"/>
      <c r="E141" s="27">
        <f>IF(OR(C141="",D141=""),"",ROUND((D141-C141)*1440,0))</f>
        <v/>
      </c>
      <c r="F141" s="27" t="n"/>
      <c r="G141" s="27" t="n"/>
      <c r="H141" s="27" t="n"/>
      <c r="I141" s="27" t="n"/>
      <c r="J141" s="27" t="n"/>
      <c r="K141" s="29" t="n"/>
      <c r="L141" s="27" t="n"/>
      <c r="M141" s="27" t="n"/>
    </row>
    <row r="142">
      <c r="A142" s="22" t="n"/>
      <c r="B142" s="23">
        <f>IF(A142="","",TEXT(A142,"ddd"))</f>
        <v/>
      </c>
      <c r="C142" s="24" t="n"/>
      <c r="D142" s="24" t="n"/>
      <c r="E142" s="23">
        <f>IF(OR(C142="",D142=""),"",ROUND((D142-C142)*1440,0))</f>
        <v/>
      </c>
      <c r="F142" s="23" t="n"/>
      <c r="G142" s="23" t="n"/>
      <c r="H142" s="23" t="n"/>
      <c r="I142" s="23" t="n"/>
      <c r="J142" s="23" t="n"/>
      <c r="K142" s="25" t="n"/>
      <c r="L142" s="23" t="n"/>
      <c r="M142" s="23" t="n"/>
    </row>
    <row r="143">
      <c r="A143" s="26" t="n"/>
      <c r="B143" s="27">
        <f>IF(A143="","",TEXT(A143,"ddd"))</f>
        <v/>
      </c>
      <c r="C143" s="28" t="n"/>
      <c r="D143" s="28" t="n"/>
      <c r="E143" s="27">
        <f>IF(OR(C143="",D143=""),"",ROUND((D143-C143)*1440,0))</f>
        <v/>
      </c>
      <c r="F143" s="27" t="n"/>
      <c r="G143" s="27" t="n"/>
      <c r="H143" s="27" t="n"/>
      <c r="I143" s="27" t="n"/>
      <c r="J143" s="27" t="n"/>
      <c r="K143" s="29" t="n"/>
      <c r="L143" s="27" t="n"/>
      <c r="M143" s="27" t="n"/>
    </row>
    <row r="144">
      <c r="A144" s="22" t="n"/>
      <c r="B144" s="23">
        <f>IF(A144="","",TEXT(A144,"ddd"))</f>
        <v/>
      </c>
      <c r="C144" s="24" t="n"/>
      <c r="D144" s="24" t="n"/>
      <c r="E144" s="23">
        <f>IF(OR(C144="",D144=""),"",ROUND((D144-C144)*1440,0))</f>
        <v/>
      </c>
      <c r="F144" s="23" t="n"/>
      <c r="G144" s="23" t="n"/>
      <c r="H144" s="23" t="n"/>
      <c r="I144" s="23" t="n"/>
      <c r="J144" s="23" t="n"/>
      <c r="K144" s="25" t="n"/>
      <c r="L144" s="23" t="n"/>
      <c r="M144" s="23" t="n"/>
    </row>
    <row r="145">
      <c r="A145" s="26" t="n"/>
      <c r="B145" s="27">
        <f>IF(A145="","",TEXT(A145,"ddd"))</f>
        <v/>
      </c>
      <c r="C145" s="28" t="n"/>
      <c r="D145" s="28" t="n"/>
      <c r="E145" s="27">
        <f>IF(OR(C145="",D145=""),"",ROUND((D145-C145)*1440,0))</f>
        <v/>
      </c>
      <c r="F145" s="27" t="n"/>
      <c r="G145" s="27" t="n"/>
      <c r="H145" s="27" t="n"/>
      <c r="I145" s="27" t="n"/>
      <c r="J145" s="27" t="n"/>
      <c r="K145" s="29" t="n"/>
      <c r="L145" s="27" t="n"/>
      <c r="M145" s="27" t="n"/>
    </row>
    <row r="146">
      <c r="A146" s="22" t="n"/>
      <c r="B146" s="23">
        <f>IF(A146="","",TEXT(A146,"ddd"))</f>
        <v/>
      </c>
      <c r="C146" s="24" t="n"/>
      <c r="D146" s="24" t="n"/>
      <c r="E146" s="23">
        <f>IF(OR(C146="",D146=""),"",ROUND((D146-C146)*1440,0))</f>
        <v/>
      </c>
      <c r="F146" s="23" t="n"/>
      <c r="G146" s="23" t="n"/>
      <c r="H146" s="23" t="n"/>
      <c r="I146" s="23" t="n"/>
      <c r="J146" s="23" t="n"/>
      <c r="K146" s="25" t="n"/>
      <c r="L146" s="23" t="n"/>
      <c r="M146" s="23" t="n"/>
    </row>
    <row r="147">
      <c r="A147" s="26" t="n"/>
      <c r="B147" s="27">
        <f>IF(A147="","",TEXT(A147,"ddd"))</f>
        <v/>
      </c>
      <c r="C147" s="28" t="n"/>
      <c r="D147" s="28" t="n"/>
      <c r="E147" s="27">
        <f>IF(OR(C147="",D147=""),"",ROUND((D147-C147)*1440,0))</f>
        <v/>
      </c>
      <c r="F147" s="27" t="n"/>
      <c r="G147" s="27" t="n"/>
      <c r="H147" s="27" t="n"/>
      <c r="I147" s="27" t="n"/>
      <c r="J147" s="27" t="n"/>
      <c r="K147" s="29" t="n"/>
      <c r="L147" s="27" t="n"/>
      <c r="M147" s="27" t="n"/>
    </row>
    <row r="148">
      <c r="A148" s="22" t="n"/>
      <c r="B148" s="23">
        <f>IF(A148="","",TEXT(A148,"ddd"))</f>
        <v/>
      </c>
      <c r="C148" s="24" t="n"/>
      <c r="D148" s="24" t="n"/>
      <c r="E148" s="23">
        <f>IF(OR(C148="",D148=""),"",ROUND((D148-C148)*1440,0))</f>
        <v/>
      </c>
      <c r="F148" s="23" t="n"/>
      <c r="G148" s="23" t="n"/>
      <c r="H148" s="23" t="n"/>
      <c r="I148" s="23" t="n"/>
      <c r="J148" s="23" t="n"/>
      <c r="K148" s="25" t="n"/>
      <c r="L148" s="23" t="n"/>
      <c r="M148" s="23" t="n"/>
    </row>
    <row r="149">
      <c r="A149" s="26" t="n"/>
      <c r="B149" s="27">
        <f>IF(A149="","",TEXT(A149,"ddd"))</f>
        <v/>
      </c>
      <c r="C149" s="28" t="n"/>
      <c r="D149" s="28" t="n"/>
      <c r="E149" s="27">
        <f>IF(OR(C149="",D149=""),"",ROUND((D149-C149)*1440,0))</f>
        <v/>
      </c>
      <c r="F149" s="27" t="n"/>
      <c r="G149" s="27" t="n"/>
      <c r="H149" s="27" t="n"/>
      <c r="I149" s="27" t="n"/>
      <c r="J149" s="27" t="n"/>
      <c r="K149" s="29" t="n"/>
      <c r="L149" s="27" t="n"/>
      <c r="M149" s="27" t="n"/>
    </row>
    <row r="150">
      <c r="A150" s="22" t="n"/>
      <c r="B150" s="23">
        <f>IF(A150="","",TEXT(A150,"ddd"))</f>
        <v/>
      </c>
      <c r="C150" s="24" t="n"/>
      <c r="D150" s="24" t="n"/>
      <c r="E150" s="23">
        <f>IF(OR(C150="",D150=""),"",ROUND((D150-C150)*1440,0))</f>
        <v/>
      </c>
      <c r="F150" s="23" t="n"/>
      <c r="G150" s="23" t="n"/>
      <c r="H150" s="23" t="n"/>
      <c r="I150" s="23" t="n"/>
      <c r="J150" s="23" t="n"/>
      <c r="K150" s="25" t="n"/>
      <c r="L150" s="23" t="n"/>
      <c r="M150" s="23" t="n"/>
    </row>
    <row r="151">
      <c r="A151" s="26" t="n"/>
      <c r="B151" s="27">
        <f>IF(A151="","",TEXT(A151,"ddd"))</f>
        <v/>
      </c>
      <c r="C151" s="28" t="n"/>
      <c r="D151" s="28" t="n"/>
      <c r="E151" s="27">
        <f>IF(OR(C151="",D151=""),"",ROUND((D151-C151)*1440,0))</f>
        <v/>
      </c>
      <c r="F151" s="27" t="n"/>
      <c r="G151" s="27" t="n"/>
      <c r="H151" s="27" t="n"/>
      <c r="I151" s="27" t="n"/>
      <c r="J151" s="27" t="n"/>
      <c r="K151" s="29" t="n"/>
      <c r="L151" s="27" t="n"/>
      <c r="M151" s="27" t="n"/>
    </row>
    <row r="152">
      <c r="A152" s="22" t="n"/>
      <c r="B152" s="23">
        <f>IF(A152="","",TEXT(A152,"ddd"))</f>
        <v/>
      </c>
      <c r="C152" s="24" t="n"/>
      <c r="D152" s="24" t="n"/>
      <c r="E152" s="23">
        <f>IF(OR(C152="",D152=""),"",ROUND((D152-C152)*1440,0))</f>
        <v/>
      </c>
      <c r="F152" s="23" t="n"/>
      <c r="G152" s="23" t="n"/>
      <c r="H152" s="23" t="n"/>
      <c r="I152" s="23" t="n"/>
      <c r="J152" s="23" t="n"/>
      <c r="K152" s="25" t="n"/>
      <c r="L152" s="23" t="n"/>
      <c r="M152" s="23" t="n"/>
    </row>
    <row r="153">
      <c r="A153" s="26" t="n"/>
      <c r="B153" s="27">
        <f>IF(A153="","",TEXT(A153,"ddd"))</f>
        <v/>
      </c>
      <c r="C153" s="28" t="n"/>
      <c r="D153" s="28" t="n"/>
      <c r="E153" s="27">
        <f>IF(OR(C153="",D153=""),"",ROUND((D153-C153)*1440,0))</f>
        <v/>
      </c>
      <c r="F153" s="27" t="n"/>
      <c r="G153" s="27" t="n"/>
      <c r="H153" s="27" t="n"/>
      <c r="I153" s="27" t="n"/>
      <c r="J153" s="27" t="n"/>
      <c r="K153" s="29" t="n"/>
      <c r="L153" s="27" t="n"/>
      <c r="M153" s="27" t="n"/>
    </row>
    <row r="154">
      <c r="A154" s="22" t="n"/>
      <c r="B154" s="23">
        <f>IF(A154="","",TEXT(A154,"ddd"))</f>
        <v/>
      </c>
      <c r="C154" s="24" t="n"/>
      <c r="D154" s="24" t="n"/>
      <c r="E154" s="23">
        <f>IF(OR(C154="",D154=""),"",ROUND((D154-C154)*1440,0))</f>
        <v/>
      </c>
      <c r="F154" s="23" t="n"/>
      <c r="G154" s="23" t="n"/>
      <c r="H154" s="23" t="n"/>
      <c r="I154" s="23" t="n"/>
      <c r="J154" s="23" t="n"/>
      <c r="K154" s="25" t="n"/>
      <c r="L154" s="23" t="n"/>
      <c r="M154" s="23" t="n"/>
    </row>
    <row r="155">
      <c r="A155" s="26" t="n"/>
      <c r="B155" s="27">
        <f>IF(A155="","",TEXT(A155,"ddd"))</f>
        <v/>
      </c>
      <c r="C155" s="28" t="n"/>
      <c r="D155" s="28" t="n"/>
      <c r="E155" s="27">
        <f>IF(OR(C155="",D155=""),"",ROUND((D155-C155)*1440,0))</f>
        <v/>
      </c>
      <c r="F155" s="27" t="n"/>
      <c r="G155" s="27" t="n"/>
      <c r="H155" s="27" t="n"/>
      <c r="I155" s="27" t="n"/>
      <c r="J155" s="27" t="n"/>
      <c r="K155" s="29" t="n"/>
      <c r="L155" s="27" t="n"/>
      <c r="M155" s="27" t="n"/>
    </row>
    <row r="156">
      <c r="A156" s="22" t="n"/>
      <c r="B156" s="23">
        <f>IF(A156="","",TEXT(A156,"ddd"))</f>
        <v/>
      </c>
      <c r="C156" s="24" t="n"/>
      <c r="D156" s="24" t="n"/>
      <c r="E156" s="23">
        <f>IF(OR(C156="",D156=""),"",ROUND((D156-C156)*1440,0))</f>
        <v/>
      </c>
      <c r="F156" s="23" t="n"/>
      <c r="G156" s="23" t="n"/>
      <c r="H156" s="23" t="n"/>
      <c r="I156" s="23" t="n"/>
      <c r="J156" s="23" t="n"/>
      <c r="K156" s="25" t="n"/>
      <c r="L156" s="23" t="n"/>
      <c r="M156" s="23" t="n"/>
    </row>
    <row r="157">
      <c r="A157" s="26" t="n"/>
      <c r="B157" s="27">
        <f>IF(A157="","",TEXT(A157,"ddd"))</f>
        <v/>
      </c>
      <c r="C157" s="28" t="n"/>
      <c r="D157" s="28" t="n"/>
      <c r="E157" s="27">
        <f>IF(OR(C157="",D157=""),"",ROUND((D157-C157)*1440,0))</f>
        <v/>
      </c>
      <c r="F157" s="27" t="n"/>
      <c r="G157" s="27" t="n"/>
      <c r="H157" s="27" t="n"/>
      <c r="I157" s="27" t="n"/>
      <c r="J157" s="27" t="n"/>
      <c r="K157" s="29" t="n"/>
      <c r="L157" s="27" t="n"/>
      <c r="M157" s="27" t="n"/>
    </row>
    <row r="158">
      <c r="A158" s="22" t="n"/>
      <c r="B158" s="23">
        <f>IF(A158="","",TEXT(A158,"ddd"))</f>
        <v/>
      </c>
      <c r="C158" s="24" t="n"/>
      <c r="D158" s="24" t="n"/>
      <c r="E158" s="23">
        <f>IF(OR(C158="",D158=""),"",ROUND((D158-C158)*1440,0))</f>
        <v/>
      </c>
      <c r="F158" s="23" t="n"/>
      <c r="G158" s="23" t="n"/>
      <c r="H158" s="23" t="n"/>
      <c r="I158" s="23" t="n"/>
      <c r="J158" s="23" t="n"/>
      <c r="K158" s="25" t="n"/>
      <c r="L158" s="23" t="n"/>
      <c r="M158" s="23" t="n"/>
    </row>
    <row r="159">
      <c r="A159" s="26" t="n"/>
      <c r="B159" s="27">
        <f>IF(A159="","",TEXT(A159,"ddd"))</f>
        <v/>
      </c>
      <c r="C159" s="28" t="n"/>
      <c r="D159" s="28" t="n"/>
      <c r="E159" s="27">
        <f>IF(OR(C159="",D159=""),"",ROUND((D159-C159)*1440,0))</f>
        <v/>
      </c>
      <c r="F159" s="27" t="n"/>
      <c r="G159" s="27" t="n"/>
      <c r="H159" s="27" t="n"/>
      <c r="I159" s="27" t="n"/>
      <c r="J159" s="27" t="n"/>
      <c r="K159" s="29" t="n"/>
      <c r="L159" s="27" t="n"/>
      <c r="M159" s="27" t="n"/>
    </row>
    <row r="160">
      <c r="A160" s="22" t="n"/>
      <c r="B160" s="23">
        <f>IF(A160="","",TEXT(A160,"ddd"))</f>
        <v/>
      </c>
      <c r="C160" s="24" t="n"/>
      <c r="D160" s="24" t="n"/>
      <c r="E160" s="23">
        <f>IF(OR(C160="",D160=""),"",ROUND((D160-C160)*1440,0))</f>
        <v/>
      </c>
      <c r="F160" s="23" t="n"/>
      <c r="G160" s="23" t="n"/>
      <c r="H160" s="23" t="n"/>
      <c r="I160" s="23" t="n"/>
      <c r="J160" s="23" t="n"/>
      <c r="K160" s="25" t="n"/>
      <c r="L160" s="23" t="n"/>
      <c r="M160" s="23" t="n"/>
    </row>
    <row r="161">
      <c r="A161" s="26" t="n"/>
      <c r="B161" s="27">
        <f>IF(A161="","",TEXT(A161,"ddd"))</f>
        <v/>
      </c>
      <c r="C161" s="28" t="n"/>
      <c r="D161" s="28" t="n"/>
      <c r="E161" s="27">
        <f>IF(OR(C161="",D161=""),"",ROUND((D161-C161)*1440,0))</f>
        <v/>
      </c>
      <c r="F161" s="27" t="n"/>
      <c r="G161" s="27" t="n"/>
      <c r="H161" s="27" t="n"/>
      <c r="I161" s="27" t="n"/>
      <c r="J161" s="27" t="n"/>
      <c r="K161" s="29" t="n"/>
      <c r="L161" s="27" t="n"/>
      <c r="M161" s="27" t="n"/>
    </row>
    <row r="162">
      <c r="A162" s="22" t="n"/>
      <c r="B162" s="23">
        <f>IF(A162="","",TEXT(A162,"ddd"))</f>
        <v/>
      </c>
      <c r="C162" s="24" t="n"/>
      <c r="D162" s="24" t="n"/>
      <c r="E162" s="23">
        <f>IF(OR(C162="",D162=""),"",ROUND((D162-C162)*1440,0))</f>
        <v/>
      </c>
      <c r="F162" s="23" t="n"/>
      <c r="G162" s="23" t="n"/>
      <c r="H162" s="23" t="n"/>
      <c r="I162" s="23" t="n"/>
      <c r="J162" s="23" t="n"/>
      <c r="K162" s="25" t="n"/>
      <c r="L162" s="23" t="n"/>
      <c r="M162" s="23" t="n"/>
    </row>
    <row r="163">
      <c r="A163" s="26" t="n"/>
      <c r="B163" s="27">
        <f>IF(A163="","",TEXT(A163,"ddd"))</f>
        <v/>
      </c>
      <c r="C163" s="28" t="n"/>
      <c r="D163" s="28" t="n"/>
      <c r="E163" s="27">
        <f>IF(OR(C163="",D163=""),"",ROUND((D163-C163)*1440,0))</f>
        <v/>
      </c>
      <c r="F163" s="27" t="n"/>
      <c r="G163" s="27" t="n"/>
      <c r="H163" s="27" t="n"/>
      <c r="I163" s="27" t="n"/>
      <c r="J163" s="27" t="n"/>
      <c r="K163" s="29" t="n"/>
      <c r="L163" s="27" t="n"/>
      <c r="M163" s="27" t="n"/>
    </row>
    <row r="164">
      <c r="A164" s="22" t="n"/>
      <c r="B164" s="23">
        <f>IF(A164="","",TEXT(A164,"ddd"))</f>
        <v/>
      </c>
      <c r="C164" s="24" t="n"/>
      <c r="D164" s="24" t="n"/>
      <c r="E164" s="23">
        <f>IF(OR(C164="",D164=""),"",ROUND((D164-C164)*1440,0))</f>
        <v/>
      </c>
      <c r="F164" s="23" t="n"/>
      <c r="G164" s="23" t="n"/>
      <c r="H164" s="23" t="n"/>
      <c r="I164" s="23" t="n"/>
      <c r="J164" s="23" t="n"/>
      <c r="K164" s="25" t="n"/>
      <c r="L164" s="23" t="n"/>
      <c r="M164" s="23" t="n"/>
    </row>
    <row r="165">
      <c r="A165" s="26" t="n"/>
      <c r="B165" s="27">
        <f>IF(A165="","",TEXT(A165,"ddd"))</f>
        <v/>
      </c>
      <c r="C165" s="28" t="n"/>
      <c r="D165" s="28" t="n"/>
      <c r="E165" s="27">
        <f>IF(OR(C165="",D165=""),"",ROUND((D165-C165)*1440,0))</f>
        <v/>
      </c>
      <c r="F165" s="27" t="n"/>
      <c r="G165" s="27" t="n"/>
      <c r="H165" s="27" t="n"/>
      <c r="I165" s="27" t="n"/>
      <c r="J165" s="27" t="n"/>
      <c r="K165" s="29" t="n"/>
      <c r="L165" s="27" t="n"/>
      <c r="M165" s="27" t="n"/>
    </row>
    <row r="166">
      <c r="A166" s="22" t="n"/>
      <c r="B166" s="23">
        <f>IF(A166="","",TEXT(A166,"ddd"))</f>
        <v/>
      </c>
      <c r="C166" s="24" t="n"/>
      <c r="D166" s="24" t="n"/>
      <c r="E166" s="23">
        <f>IF(OR(C166="",D166=""),"",ROUND((D166-C166)*1440,0))</f>
        <v/>
      </c>
      <c r="F166" s="23" t="n"/>
      <c r="G166" s="23" t="n"/>
      <c r="H166" s="23" t="n"/>
      <c r="I166" s="23" t="n"/>
      <c r="J166" s="23" t="n"/>
      <c r="K166" s="25" t="n"/>
      <c r="L166" s="23" t="n"/>
      <c r="M166" s="23" t="n"/>
    </row>
    <row r="167">
      <c r="A167" s="26" t="n"/>
      <c r="B167" s="27">
        <f>IF(A167="","",TEXT(A167,"ddd"))</f>
        <v/>
      </c>
      <c r="C167" s="28" t="n"/>
      <c r="D167" s="28" t="n"/>
      <c r="E167" s="27">
        <f>IF(OR(C167="",D167=""),"",ROUND((D167-C167)*1440,0))</f>
        <v/>
      </c>
      <c r="F167" s="27" t="n"/>
      <c r="G167" s="27" t="n"/>
      <c r="H167" s="27" t="n"/>
      <c r="I167" s="27" t="n"/>
      <c r="J167" s="27" t="n"/>
      <c r="K167" s="29" t="n"/>
      <c r="L167" s="27" t="n"/>
      <c r="M167" s="27" t="n"/>
    </row>
    <row r="168">
      <c r="A168" s="22" t="n"/>
      <c r="B168" s="23">
        <f>IF(A168="","",TEXT(A168,"ddd"))</f>
        <v/>
      </c>
      <c r="C168" s="24" t="n"/>
      <c r="D168" s="24" t="n"/>
      <c r="E168" s="23">
        <f>IF(OR(C168="",D168=""),"",ROUND((D168-C168)*1440,0))</f>
        <v/>
      </c>
      <c r="F168" s="23" t="n"/>
      <c r="G168" s="23" t="n"/>
      <c r="H168" s="23" t="n"/>
      <c r="I168" s="23" t="n"/>
      <c r="J168" s="23" t="n"/>
      <c r="K168" s="25" t="n"/>
      <c r="L168" s="23" t="n"/>
      <c r="M168" s="23" t="n"/>
    </row>
    <row r="169">
      <c r="A169" s="26" t="n"/>
      <c r="B169" s="27">
        <f>IF(A169="","",TEXT(A169,"ddd"))</f>
        <v/>
      </c>
      <c r="C169" s="28" t="n"/>
      <c r="D169" s="28" t="n"/>
      <c r="E169" s="27">
        <f>IF(OR(C169="",D169=""),"",ROUND((D169-C169)*1440,0))</f>
        <v/>
      </c>
      <c r="F169" s="27" t="n"/>
      <c r="G169" s="27" t="n"/>
      <c r="H169" s="27" t="n"/>
      <c r="I169" s="27" t="n"/>
      <c r="J169" s="27" t="n"/>
      <c r="K169" s="29" t="n"/>
      <c r="L169" s="27" t="n"/>
      <c r="M169" s="27" t="n"/>
    </row>
    <row r="170">
      <c r="A170" s="22" t="n"/>
      <c r="B170" s="23">
        <f>IF(A170="","",TEXT(A170,"ddd"))</f>
        <v/>
      </c>
      <c r="C170" s="24" t="n"/>
      <c r="D170" s="24" t="n"/>
      <c r="E170" s="23">
        <f>IF(OR(C170="",D170=""),"",ROUND((D170-C170)*1440,0))</f>
        <v/>
      </c>
      <c r="F170" s="23" t="n"/>
      <c r="G170" s="23" t="n"/>
      <c r="H170" s="23" t="n"/>
      <c r="I170" s="23" t="n"/>
      <c r="J170" s="23" t="n"/>
      <c r="K170" s="25" t="n"/>
      <c r="L170" s="23" t="n"/>
      <c r="M170" s="23" t="n"/>
    </row>
    <row r="171">
      <c r="A171" s="26" t="n"/>
      <c r="B171" s="27">
        <f>IF(A171="","",TEXT(A171,"ddd"))</f>
        <v/>
      </c>
      <c r="C171" s="28" t="n"/>
      <c r="D171" s="28" t="n"/>
      <c r="E171" s="27">
        <f>IF(OR(C171="",D171=""),"",ROUND((D171-C171)*1440,0))</f>
        <v/>
      </c>
      <c r="F171" s="27" t="n"/>
      <c r="G171" s="27" t="n"/>
      <c r="H171" s="27" t="n"/>
      <c r="I171" s="27" t="n"/>
      <c r="J171" s="27" t="n"/>
      <c r="K171" s="29" t="n"/>
      <c r="L171" s="27" t="n"/>
      <c r="M171" s="27" t="n"/>
    </row>
    <row r="172">
      <c r="A172" s="22" t="n"/>
      <c r="B172" s="23">
        <f>IF(A172="","",TEXT(A172,"ddd"))</f>
        <v/>
      </c>
      <c r="C172" s="24" t="n"/>
      <c r="D172" s="24" t="n"/>
      <c r="E172" s="23">
        <f>IF(OR(C172="",D172=""),"",ROUND((D172-C172)*1440,0))</f>
        <v/>
      </c>
      <c r="F172" s="23" t="n"/>
      <c r="G172" s="23" t="n"/>
      <c r="H172" s="23" t="n"/>
      <c r="I172" s="23" t="n"/>
      <c r="J172" s="23" t="n"/>
      <c r="K172" s="25" t="n"/>
      <c r="L172" s="23" t="n"/>
      <c r="M172" s="23" t="n"/>
    </row>
    <row r="173">
      <c r="A173" s="26" t="n"/>
      <c r="B173" s="27">
        <f>IF(A173="","",TEXT(A173,"ddd"))</f>
        <v/>
      </c>
      <c r="C173" s="28" t="n"/>
      <c r="D173" s="28" t="n"/>
      <c r="E173" s="27">
        <f>IF(OR(C173="",D173=""),"",ROUND((D173-C173)*1440,0))</f>
        <v/>
      </c>
      <c r="F173" s="27" t="n"/>
      <c r="G173" s="27" t="n"/>
      <c r="H173" s="27" t="n"/>
      <c r="I173" s="27" t="n"/>
      <c r="J173" s="27" t="n"/>
      <c r="K173" s="29" t="n"/>
      <c r="L173" s="27" t="n"/>
      <c r="M173" s="27" t="n"/>
    </row>
    <row r="174">
      <c r="A174" s="22" t="n"/>
      <c r="B174" s="23">
        <f>IF(A174="","",TEXT(A174,"ddd"))</f>
        <v/>
      </c>
      <c r="C174" s="24" t="n"/>
      <c r="D174" s="24" t="n"/>
      <c r="E174" s="23">
        <f>IF(OR(C174="",D174=""),"",ROUND((D174-C174)*1440,0))</f>
        <v/>
      </c>
      <c r="F174" s="23" t="n"/>
      <c r="G174" s="23" t="n"/>
      <c r="H174" s="23" t="n"/>
      <c r="I174" s="23" t="n"/>
      <c r="J174" s="23" t="n"/>
      <c r="K174" s="25" t="n"/>
      <c r="L174" s="23" t="n"/>
      <c r="M174" s="23" t="n"/>
    </row>
    <row r="175">
      <c r="A175" s="26" t="n"/>
      <c r="B175" s="27">
        <f>IF(A175="","",TEXT(A175,"ddd"))</f>
        <v/>
      </c>
      <c r="C175" s="28" t="n"/>
      <c r="D175" s="28" t="n"/>
      <c r="E175" s="27">
        <f>IF(OR(C175="",D175=""),"",ROUND((D175-C175)*1440,0))</f>
        <v/>
      </c>
      <c r="F175" s="27" t="n"/>
      <c r="G175" s="27" t="n"/>
      <c r="H175" s="27" t="n"/>
      <c r="I175" s="27" t="n"/>
      <c r="J175" s="27" t="n"/>
      <c r="K175" s="29" t="n"/>
      <c r="L175" s="27" t="n"/>
      <c r="M175" s="27" t="n"/>
    </row>
    <row r="176">
      <c r="A176" s="22" t="n"/>
      <c r="B176" s="23">
        <f>IF(A176="","",TEXT(A176,"ddd"))</f>
        <v/>
      </c>
      <c r="C176" s="24" t="n"/>
      <c r="D176" s="24" t="n"/>
      <c r="E176" s="23">
        <f>IF(OR(C176="",D176=""),"",ROUND((D176-C176)*1440,0))</f>
        <v/>
      </c>
      <c r="F176" s="23" t="n"/>
      <c r="G176" s="23" t="n"/>
      <c r="H176" s="23" t="n"/>
      <c r="I176" s="23" t="n"/>
      <c r="J176" s="23" t="n"/>
      <c r="K176" s="25" t="n"/>
      <c r="L176" s="23" t="n"/>
      <c r="M176" s="23" t="n"/>
    </row>
    <row r="177">
      <c r="A177" s="26" t="n"/>
      <c r="B177" s="27">
        <f>IF(A177="","",TEXT(A177,"ddd"))</f>
        <v/>
      </c>
      <c r="C177" s="28" t="n"/>
      <c r="D177" s="28" t="n"/>
      <c r="E177" s="27">
        <f>IF(OR(C177="",D177=""),"",ROUND((D177-C177)*1440,0))</f>
        <v/>
      </c>
      <c r="F177" s="27" t="n"/>
      <c r="G177" s="27" t="n"/>
      <c r="H177" s="27" t="n"/>
      <c r="I177" s="27" t="n"/>
      <c r="J177" s="27" t="n"/>
      <c r="K177" s="29" t="n"/>
      <c r="L177" s="27" t="n"/>
      <c r="M177" s="27" t="n"/>
    </row>
    <row r="178">
      <c r="A178" s="22" t="n"/>
      <c r="B178" s="23">
        <f>IF(A178="","",TEXT(A178,"ddd"))</f>
        <v/>
      </c>
      <c r="C178" s="24" t="n"/>
      <c r="D178" s="24" t="n"/>
      <c r="E178" s="23">
        <f>IF(OR(C178="",D178=""),"",ROUND((D178-C178)*1440,0))</f>
        <v/>
      </c>
      <c r="F178" s="23" t="n"/>
      <c r="G178" s="23" t="n"/>
      <c r="H178" s="23" t="n"/>
      <c r="I178" s="23" t="n"/>
      <c r="J178" s="23" t="n"/>
      <c r="K178" s="25" t="n"/>
      <c r="L178" s="23" t="n"/>
      <c r="M178" s="23" t="n"/>
    </row>
    <row r="179">
      <c r="A179" s="26" t="n"/>
      <c r="B179" s="27">
        <f>IF(A179="","",TEXT(A179,"ddd"))</f>
        <v/>
      </c>
      <c r="C179" s="28" t="n"/>
      <c r="D179" s="28" t="n"/>
      <c r="E179" s="27">
        <f>IF(OR(C179="",D179=""),"",ROUND((D179-C179)*1440,0))</f>
        <v/>
      </c>
      <c r="F179" s="27" t="n"/>
      <c r="G179" s="27" t="n"/>
      <c r="H179" s="27" t="n"/>
      <c r="I179" s="27" t="n"/>
      <c r="J179" s="27" t="n"/>
      <c r="K179" s="29" t="n"/>
      <c r="L179" s="27" t="n"/>
      <c r="M179" s="27" t="n"/>
    </row>
    <row r="180">
      <c r="A180" s="22" t="n"/>
      <c r="B180" s="23">
        <f>IF(A180="","",TEXT(A180,"ddd"))</f>
        <v/>
      </c>
      <c r="C180" s="24" t="n"/>
      <c r="D180" s="24" t="n"/>
      <c r="E180" s="23">
        <f>IF(OR(C180="",D180=""),"",ROUND((D180-C180)*1440,0))</f>
        <v/>
      </c>
      <c r="F180" s="23" t="n"/>
      <c r="G180" s="23" t="n"/>
      <c r="H180" s="23" t="n"/>
      <c r="I180" s="23" t="n"/>
      <c r="J180" s="23" t="n"/>
      <c r="K180" s="25" t="n"/>
      <c r="L180" s="23" t="n"/>
      <c r="M180" s="23" t="n"/>
    </row>
    <row r="181">
      <c r="A181" s="26" t="n"/>
      <c r="B181" s="27">
        <f>IF(A181="","",TEXT(A181,"ddd"))</f>
        <v/>
      </c>
      <c r="C181" s="28" t="n"/>
      <c r="D181" s="28" t="n"/>
      <c r="E181" s="27">
        <f>IF(OR(C181="",D181=""),"",ROUND((D181-C181)*1440,0))</f>
        <v/>
      </c>
      <c r="F181" s="27" t="n"/>
      <c r="G181" s="27" t="n"/>
      <c r="H181" s="27" t="n"/>
      <c r="I181" s="27" t="n"/>
      <c r="J181" s="27" t="n"/>
      <c r="K181" s="29" t="n"/>
      <c r="L181" s="27" t="n"/>
      <c r="M181" s="27" t="n"/>
    </row>
    <row r="182">
      <c r="A182" s="22" t="n"/>
      <c r="B182" s="23">
        <f>IF(A182="","",TEXT(A182,"ddd"))</f>
        <v/>
      </c>
      <c r="C182" s="24" t="n"/>
      <c r="D182" s="24" t="n"/>
      <c r="E182" s="23">
        <f>IF(OR(C182="",D182=""),"",ROUND((D182-C182)*1440,0))</f>
        <v/>
      </c>
      <c r="F182" s="23" t="n"/>
      <c r="G182" s="23" t="n"/>
      <c r="H182" s="23" t="n"/>
      <c r="I182" s="23" t="n"/>
      <c r="J182" s="23" t="n"/>
      <c r="K182" s="25" t="n"/>
      <c r="L182" s="23" t="n"/>
      <c r="M182" s="23" t="n"/>
    </row>
    <row r="183">
      <c r="A183" s="26" t="n"/>
      <c r="B183" s="27">
        <f>IF(A183="","",TEXT(A183,"ddd"))</f>
        <v/>
      </c>
      <c r="C183" s="28" t="n"/>
      <c r="D183" s="28" t="n"/>
      <c r="E183" s="27">
        <f>IF(OR(C183="",D183=""),"",ROUND((D183-C183)*1440,0))</f>
        <v/>
      </c>
      <c r="F183" s="27" t="n"/>
      <c r="G183" s="27" t="n"/>
      <c r="H183" s="27" t="n"/>
      <c r="I183" s="27" t="n"/>
      <c r="J183" s="27" t="n"/>
      <c r="K183" s="29" t="n"/>
      <c r="L183" s="27" t="n"/>
      <c r="M183" s="27" t="n"/>
    </row>
    <row r="184">
      <c r="A184" s="22" t="n"/>
      <c r="B184" s="23">
        <f>IF(A184="","",TEXT(A184,"ddd"))</f>
        <v/>
      </c>
      <c r="C184" s="24" t="n"/>
      <c r="D184" s="24" t="n"/>
      <c r="E184" s="23">
        <f>IF(OR(C184="",D184=""),"",ROUND((D184-C184)*1440,0))</f>
        <v/>
      </c>
      <c r="F184" s="23" t="n"/>
      <c r="G184" s="23" t="n"/>
      <c r="H184" s="23" t="n"/>
      <c r="I184" s="23" t="n"/>
      <c r="J184" s="23" t="n"/>
      <c r="K184" s="25" t="n"/>
      <c r="L184" s="23" t="n"/>
      <c r="M184" s="23" t="n"/>
    </row>
    <row r="185">
      <c r="A185" s="26" t="n"/>
      <c r="B185" s="27">
        <f>IF(A185="","",TEXT(A185,"ddd"))</f>
        <v/>
      </c>
      <c r="C185" s="28" t="n"/>
      <c r="D185" s="28" t="n"/>
      <c r="E185" s="27">
        <f>IF(OR(C185="",D185=""),"",ROUND((D185-C185)*1440,0))</f>
        <v/>
      </c>
      <c r="F185" s="27" t="n"/>
      <c r="G185" s="27" t="n"/>
      <c r="H185" s="27" t="n"/>
      <c r="I185" s="27" t="n"/>
      <c r="J185" s="27" t="n"/>
      <c r="K185" s="29" t="n"/>
      <c r="L185" s="27" t="n"/>
      <c r="M185" s="27" t="n"/>
    </row>
    <row r="186">
      <c r="A186" s="22" t="n"/>
      <c r="B186" s="23">
        <f>IF(A186="","",TEXT(A186,"ddd"))</f>
        <v/>
      </c>
      <c r="C186" s="24" t="n"/>
      <c r="D186" s="24" t="n"/>
      <c r="E186" s="23">
        <f>IF(OR(C186="",D186=""),"",ROUND((D186-C186)*1440,0))</f>
        <v/>
      </c>
      <c r="F186" s="23" t="n"/>
      <c r="G186" s="23" t="n"/>
      <c r="H186" s="23" t="n"/>
      <c r="I186" s="23" t="n"/>
      <c r="J186" s="23" t="n"/>
      <c r="K186" s="25" t="n"/>
      <c r="L186" s="23" t="n"/>
      <c r="M186" s="23" t="n"/>
    </row>
    <row r="187">
      <c r="A187" s="26" t="n"/>
      <c r="B187" s="27">
        <f>IF(A187="","",TEXT(A187,"ddd"))</f>
        <v/>
      </c>
      <c r="C187" s="28" t="n"/>
      <c r="D187" s="28" t="n"/>
      <c r="E187" s="27">
        <f>IF(OR(C187="",D187=""),"",ROUND((D187-C187)*1440,0))</f>
        <v/>
      </c>
      <c r="F187" s="27" t="n"/>
      <c r="G187" s="27" t="n"/>
      <c r="H187" s="27" t="n"/>
      <c r="I187" s="27" t="n"/>
      <c r="J187" s="27" t="n"/>
      <c r="K187" s="29" t="n"/>
      <c r="L187" s="27" t="n"/>
      <c r="M187" s="27" t="n"/>
    </row>
    <row r="188">
      <c r="A188" s="22" t="n"/>
      <c r="B188" s="23">
        <f>IF(A188="","",TEXT(A188,"ddd"))</f>
        <v/>
      </c>
      <c r="C188" s="24" t="n"/>
      <c r="D188" s="24" t="n"/>
      <c r="E188" s="23">
        <f>IF(OR(C188="",D188=""),"",ROUND((D188-C188)*1440,0))</f>
        <v/>
      </c>
      <c r="F188" s="23" t="n"/>
      <c r="G188" s="23" t="n"/>
      <c r="H188" s="23" t="n"/>
      <c r="I188" s="23" t="n"/>
      <c r="J188" s="23" t="n"/>
      <c r="K188" s="25" t="n"/>
      <c r="L188" s="23" t="n"/>
      <c r="M188" s="23" t="n"/>
    </row>
    <row r="189">
      <c r="A189" s="26" t="n"/>
      <c r="B189" s="27">
        <f>IF(A189="","",TEXT(A189,"ddd"))</f>
        <v/>
      </c>
      <c r="C189" s="28" t="n"/>
      <c r="D189" s="28" t="n"/>
      <c r="E189" s="27">
        <f>IF(OR(C189="",D189=""),"",ROUND((D189-C189)*1440,0))</f>
        <v/>
      </c>
      <c r="F189" s="27" t="n"/>
      <c r="G189" s="27" t="n"/>
      <c r="H189" s="27" t="n"/>
      <c r="I189" s="27" t="n"/>
      <c r="J189" s="27" t="n"/>
      <c r="K189" s="29" t="n"/>
      <c r="L189" s="27" t="n"/>
      <c r="M189" s="27" t="n"/>
    </row>
    <row r="190">
      <c r="A190" s="22" t="n"/>
      <c r="B190" s="23">
        <f>IF(A190="","",TEXT(A190,"ddd"))</f>
        <v/>
      </c>
      <c r="C190" s="24" t="n"/>
      <c r="D190" s="24" t="n"/>
      <c r="E190" s="23">
        <f>IF(OR(C190="",D190=""),"",ROUND((D190-C190)*1440,0))</f>
        <v/>
      </c>
      <c r="F190" s="23" t="n"/>
      <c r="G190" s="23" t="n"/>
      <c r="H190" s="23" t="n"/>
      <c r="I190" s="23" t="n"/>
      <c r="J190" s="23" t="n"/>
      <c r="K190" s="25" t="n"/>
      <c r="L190" s="23" t="n"/>
      <c r="M190" s="23" t="n"/>
    </row>
    <row r="191">
      <c r="A191" s="26" t="n"/>
      <c r="B191" s="27">
        <f>IF(A191="","",TEXT(A191,"ddd"))</f>
        <v/>
      </c>
      <c r="C191" s="28" t="n"/>
      <c r="D191" s="28" t="n"/>
      <c r="E191" s="27">
        <f>IF(OR(C191="",D191=""),"",ROUND((D191-C191)*1440,0))</f>
        <v/>
      </c>
      <c r="F191" s="27" t="n"/>
      <c r="G191" s="27" t="n"/>
      <c r="H191" s="27" t="n"/>
      <c r="I191" s="27" t="n"/>
      <c r="J191" s="27" t="n"/>
      <c r="K191" s="29" t="n"/>
      <c r="L191" s="27" t="n"/>
      <c r="M191" s="27" t="n"/>
    </row>
    <row r="192">
      <c r="A192" s="22" t="n"/>
      <c r="B192" s="23">
        <f>IF(A192="","",TEXT(A192,"ddd"))</f>
        <v/>
      </c>
      <c r="C192" s="24" t="n"/>
      <c r="D192" s="24" t="n"/>
      <c r="E192" s="23">
        <f>IF(OR(C192="",D192=""),"",ROUND((D192-C192)*1440,0))</f>
        <v/>
      </c>
      <c r="F192" s="23" t="n"/>
      <c r="G192" s="23" t="n"/>
      <c r="H192" s="23" t="n"/>
      <c r="I192" s="23" t="n"/>
      <c r="J192" s="23" t="n"/>
      <c r="K192" s="25" t="n"/>
      <c r="L192" s="23" t="n"/>
      <c r="M192" s="23" t="n"/>
    </row>
    <row r="193">
      <c r="A193" s="26" t="n"/>
      <c r="B193" s="27">
        <f>IF(A193="","",TEXT(A193,"ddd"))</f>
        <v/>
      </c>
      <c r="C193" s="28" t="n"/>
      <c r="D193" s="28" t="n"/>
      <c r="E193" s="27">
        <f>IF(OR(C193="",D193=""),"",ROUND((D193-C193)*1440,0))</f>
        <v/>
      </c>
      <c r="F193" s="27" t="n"/>
      <c r="G193" s="27" t="n"/>
      <c r="H193" s="27" t="n"/>
      <c r="I193" s="27" t="n"/>
      <c r="J193" s="27" t="n"/>
      <c r="K193" s="29" t="n"/>
      <c r="L193" s="27" t="n"/>
      <c r="M193" s="27" t="n"/>
    </row>
    <row r="194">
      <c r="A194" s="22" t="n"/>
      <c r="B194" s="23">
        <f>IF(A194="","",TEXT(A194,"ddd"))</f>
        <v/>
      </c>
      <c r="C194" s="24" t="n"/>
      <c r="D194" s="24" t="n"/>
      <c r="E194" s="23">
        <f>IF(OR(C194="",D194=""),"",ROUND((D194-C194)*1440,0))</f>
        <v/>
      </c>
      <c r="F194" s="23" t="n"/>
      <c r="G194" s="23" t="n"/>
      <c r="H194" s="23" t="n"/>
      <c r="I194" s="23" t="n"/>
      <c r="J194" s="23" t="n"/>
      <c r="K194" s="25" t="n"/>
      <c r="L194" s="23" t="n"/>
      <c r="M194" s="23" t="n"/>
    </row>
    <row r="195">
      <c r="A195" s="26" t="n"/>
      <c r="B195" s="27">
        <f>IF(A195="","",TEXT(A195,"ddd"))</f>
        <v/>
      </c>
      <c r="C195" s="28" t="n"/>
      <c r="D195" s="28" t="n"/>
      <c r="E195" s="27">
        <f>IF(OR(C195="",D195=""),"",ROUND((D195-C195)*1440,0))</f>
        <v/>
      </c>
      <c r="F195" s="27" t="n"/>
      <c r="G195" s="27" t="n"/>
      <c r="H195" s="27" t="n"/>
      <c r="I195" s="27" t="n"/>
      <c r="J195" s="27" t="n"/>
      <c r="K195" s="29" t="n"/>
      <c r="L195" s="27" t="n"/>
      <c r="M195" s="27" t="n"/>
    </row>
    <row r="196">
      <c r="A196" s="22" t="n"/>
      <c r="B196" s="23">
        <f>IF(A196="","",TEXT(A196,"ddd"))</f>
        <v/>
      </c>
      <c r="C196" s="24" t="n"/>
      <c r="D196" s="24" t="n"/>
      <c r="E196" s="23">
        <f>IF(OR(C196="",D196=""),"",ROUND((D196-C196)*1440,0))</f>
        <v/>
      </c>
      <c r="F196" s="23" t="n"/>
      <c r="G196" s="23" t="n"/>
      <c r="H196" s="23" t="n"/>
      <c r="I196" s="23" t="n"/>
      <c r="J196" s="23" t="n"/>
      <c r="K196" s="25" t="n"/>
      <c r="L196" s="23" t="n"/>
      <c r="M196" s="23" t="n"/>
    </row>
    <row r="197">
      <c r="A197" s="26" t="n"/>
      <c r="B197" s="27">
        <f>IF(A197="","",TEXT(A197,"ddd"))</f>
        <v/>
      </c>
      <c r="C197" s="28" t="n"/>
      <c r="D197" s="28" t="n"/>
      <c r="E197" s="27">
        <f>IF(OR(C197="",D197=""),"",ROUND((D197-C197)*1440,0))</f>
        <v/>
      </c>
      <c r="F197" s="27" t="n"/>
      <c r="G197" s="27" t="n"/>
      <c r="H197" s="27" t="n"/>
      <c r="I197" s="27" t="n"/>
      <c r="J197" s="27" t="n"/>
      <c r="K197" s="29" t="n"/>
      <c r="L197" s="27" t="n"/>
      <c r="M197" s="27" t="n"/>
    </row>
    <row r="198">
      <c r="A198" s="22" t="n"/>
      <c r="B198" s="23">
        <f>IF(A198="","",TEXT(A198,"ddd"))</f>
        <v/>
      </c>
      <c r="C198" s="24" t="n"/>
      <c r="D198" s="24" t="n"/>
      <c r="E198" s="23">
        <f>IF(OR(C198="",D198=""),"",ROUND((D198-C198)*1440,0))</f>
        <v/>
      </c>
      <c r="F198" s="23" t="n"/>
      <c r="G198" s="23" t="n"/>
      <c r="H198" s="23" t="n"/>
      <c r="I198" s="23" t="n"/>
      <c r="J198" s="23" t="n"/>
      <c r="K198" s="25" t="n"/>
      <c r="L198" s="23" t="n"/>
      <c r="M198" s="23" t="n"/>
    </row>
    <row r="199">
      <c r="A199" s="26" t="n"/>
      <c r="B199" s="27">
        <f>IF(A199="","",TEXT(A199,"ddd"))</f>
        <v/>
      </c>
      <c r="C199" s="28" t="n"/>
      <c r="D199" s="28" t="n"/>
      <c r="E199" s="27">
        <f>IF(OR(C199="",D199=""),"",ROUND((D199-C199)*1440,0))</f>
        <v/>
      </c>
      <c r="F199" s="27" t="n"/>
      <c r="G199" s="27" t="n"/>
      <c r="H199" s="27" t="n"/>
      <c r="I199" s="27" t="n"/>
      <c r="J199" s="27" t="n"/>
      <c r="K199" s="29" t="n"/>
      <c r="L199" s="27" t="n"/>
      <c r="M199" s="27" t="n"/>
    </row>
    <row r="200">
      <c r="A200" s="22" t="n"/>
      <c r="B200" s="23">
        <f>IF(A200="","",TEXT(A200,"ddd"))</f>
        <v/>
      </c>
      <c r="C200" s="24" t="n"/>
      <c r="D200" s="24" t="n"/>
      <c r="E200" s="23">
        <f>IF(OR(C200="",D200=""),"",ROUND((D200-C200)*1440,0))</f>
        <v/>
      </c>
      <c r="F200" s="23" t="n"/>
      <c r="G200" s="23" t="n"/>
      <c r="H200" s="23" t="n"/>
      <c r="I200" s="23" t="n"/>
      <c r="J200" s="23" t="n"/>
      <c r="K200" s="25" t="n"/>
      <c r="L200" s="23" t="n"/>
      <c r="M200" s="23" t="n"/>
    </row>
    <row r="201">
      <c r="A201" s="26" t="n"/>
      <c r="B201" s="27">
        <f>IF(A201="","",TEXT(A201,"ddd"))</f>
        <v/>
      </c>
      <c r="C201" s="28" t="n"/>
      <c r="D201" s="28" t="n"/>
      <c r="E201" s="27">
        <f>IF(OR(C201="",D201=""),"",ROUND((D201-C201)*1440,0))</f>
        <v/>
      </c>
      <c r="F201" s="27" t="n"/>
      <c r="G201" s="27" t="n"/>
      <c r="H201" s="27" t="n"/>
      <c r="I201" s="27" t="n"/>
      <c r="J201" s="27" t="n"/>
      <c r="K201" s="29" t="n"/>
      <c r="L201" s="27" t="n"/>
      <c r="M201" s="27" t="n"/>
    </row>
    <row r="202">
      <c r="A202" s="22" t="n"/>
      <c r="B202" s="23">
        <f>IF(A202="","",TEXT(A202,"ddd"))</f>
        <v/>
      </c>
      <c r="C202" s="24" t="n"/>
      <c r="D202" s="24" t="n"/>
      <c r="E202" s="23">
        <f>IF(OR(C202="",D202=""),"",ROUND((D202-C202)*1440,0))</f>
        <v/>
      </c>
      <c r="F202" s="23" t="n"/>
      <c r="G202" s="23" t="n"/>
      <c r="H202" s="23" t="n"/>
      <c r="I202" s="23" t="n"/>
      <c r="J202" s="23" t="n"/>
      <c r="K202" s="25" t="n"/>
      <c r="L202" s="23" t="n"/>
      <c r="M202" s="23" t="n"/>
    </row>
    <row r="203">
      <c r="A203" s="26" t="n"/>
      <c r="B203" s="27">
        <f>IF(A203="","",TEXT(A203,"ddd"))</f>
        <v/>
      </c>
      <c r="C203" s="28" t="n"/>
      <c r="D203" s="28" t="n"/>
      <c r="E203" s="27">
        <f>IF(OR(C203="",D203=""),"",ROUND((D203-C203)*1440,0))</f>
        <v/>
      </c>
      <c r="F203" s="27" t="n"/>
      <c r="G203" s="27" t="n"/>
      <c r="H203" s="27" t="n"/>
      <c r="I203" s="27" t="n"/>
      <c r="J203" s="27" t="n"/>
      <c r="K203" s="29" t="n"/>
      <c r="L203" s="27" t="n"/>
      <c r="M203" s="27" t="n"/>
    </row>
    <row r="204">
      <c r="A204" s="22" t="n"/>
      <c r="B204" s="23">
        <f>IF(A204="","",TEXT(A204,"ddd"))</f>
        <v/>
      </c>
      <c r="C204" s="24" t="n"/>
      <c r="D204" s="24" t="n"/>
      <c r="E204" s="23">
        <f>IF(OR(C204="",D204=""),"",ROUND((D204-C204)*1440,0))</f>
        <v/>
      </c>
      <c r="F204" s="23" t="n"/>
      <c r="G204" s="23" t="n"/>
      <c r="H204" s="23" t="n"/>
      <c r="I204" s="23" t="n"/>
      <c r="J204" s="23" t="n"/>
      <c r="K204" s="25" t="n"/>
      <c r="L204" s="23" t="n"/>
      <c r="M204" s="23" t="n"/>
    </row>
    <row r="205">
      <c r="A205" s="26" t="n"/>
      <c r="B205" s="27">
        <f>IF(A205="","",TEXT(A205,"ddd"))</f>
        <v/>
      </c>
      <c r="C205" s="28" t="n"/>
      <c r="D205" s="28" t="n"/>
      <c r="E205" s="27">
        <f>IF(OR(C205="",D205=""),"",ROUND((D205-C205)*1440,0))</f>
        <v/>
      </c>
      <c r="F205" s="27" t="n"/>
      <c r="G205" s="27" t="n"/>
      <c r="H205" s="27" t="n"/>
      <c r="I205" s="27" t="n"/>
      <c r="J205" s="27" t="n"/>
      <c r="K205" s="29" t="n"/>
      <c r="L205" s="27" t="n"/>
      <c r="M205" s="27" t="n"/>
    </row>
    <row r="206">
      <c r="A206" s="22" t="n"/>
      <c r="B206" s="23">
        <f>IF(A206="","",TEXT(A206,"ddd"))</f>
        <v/>
      </c>
      <c r="C206" s="24" t="n"/>
      <c r="D206" s="24" t="n"/>
      <c r="E206" s="23">
        <f>IF(OR(C206="",D206=""),"",ROUND((D206-C206)*1440,0))</f>
        <v/>
      </c>
      <c r="F206" s="23" t="n"/>
      <c r="G206" s="23" t="n"/>
      <c r="H206" s="23" t="n"/>
      <c r="I206" s="23" t="n"/>
      <c r="J206" s="23" t="n"/>
      <c r="K206" s="25" t="n"/>
      <c r="L206" s="23" t="n"/>
      <c r="M206" s="23" t="n"/>
    </row>
    <row r="207">
      <c r="A207" s="26" t="n"/>
      <c r="B207" s="27">
        <f>IF(A207="","",TEXT(A207,"ddd"))</f>
        <v/>
      </c>
      <c r="C207" s="28" t="n"/>
      <c r="D207" s="28" t="n"/>
      <c r="E207" s="27">
        <f>IF(OR(C207="",D207=""),"",ROUND((D207-C207)*1440,0))</f>
        <v/>
      </c>
      <c r="F207" s="27" t="n"/>
      <c r="G207" s="27" t="n"/>
      <c r="H207" s="27" t="n"/>
      <c r="I207" s="27" t="n"/>
      <c r="J207" s="27" t="n"/>
      <c r="K207" s="29" t="n"/>
      <c r="L207" s="27" t="n"/>
      <c r="M207" s="27" t="n"/>
    </row>
    <row r="208">
      <c r="A208" s="22" t="n"/>
      <c r="B208" s="23">
        <f>IF(A208="","",TEXT(A208,"ddd"))</f>
        <v/>
      </c>
      <c r="C208" s="24" t="n"/>
      <c r="D208" s="24" t="n"/>
      <c r="E208" s="23">
        <f>IF(OR(C208="",D208=""),"",ROUND((D208-C208)*1440,0))</f>
        <v/>
      </c>
      <c r="F208" s="23" t="n"/>
      <c r="G208" s="23" t="n"/>
      <c r="H208" s="23" t="n"/>
      <c r="I208" s="23" t="n"/>
      <c r="J208" s="23" t="n"/>
      <c r="K208" s="25" t="n"/>
      <c r="L208" s="23" t="n"/>
      <c r="M208" s="23" t="n"/>
    </row>
    <row r="209">
      <c r="A209" s="26" t="n"/>
      <c r="B209" s="27">
        <f>IF(A209="","",TEXT(A209,"ddd"))</f>
        <v/>
      </c>
      <c r="C209" s="28" t="n"/>
      <c r="D209" s="28" t="n"/>
      <c r="E209" s="27">
        <f>IF(OR(C209="",D209=""),"",ROUND((D209-C209)*1440,0))</f>
        <v/>
      </c>
      <c r="F209" s="27" t="n"/>
      <c r="G209" s="27" t="n"/>
      <c r="H209" s="27" t="n"/>
      <c r="I209" s="27" t="n"/>
      <c r="J209" s="27" t="n"/>
      <c r="K209" s="29" t="n"/>
      <c r="L209" s="27" t="n"/>
      <c r="M209" s="27" t="n"/>
    </row>
    <row r="210">
      <c r="A210" s="22" t="n"/>
      <c r="B210" s="23">
        <f>IF(A210="","",TEXT(A210,"ddd"))</f>
        <v/>
      </c>
      <c r="C210" s="24" t="n"/>
      <c r="D210" s="24" t="n"/>
      <c r="E210" s="23">
        <f>IF(OR(C210="",D210=""),"",ROUND((D210-C210)*1440,0))</f>
        <v/>
      </c>
      <c r="F210" s="23" t="n"/>
      <c r="G210" s="23" t="n"/>
      <c r="H210" s="23" t="n"/>
      <c r="I210" s="23" t="n"/>
      <c r="J210" s="23" t="n"/>
      <c r="K210" s="25" t="n"/>
      <c r="L210" s="23" t="n"/>
      <c r="M210" s="23" t="n"/>
    </row>
    <row r="211">
      <c r="A211" s="26" t="n"/>
      <c r="B211" s="27">
        <f>IF(A211="","",TEXT(A211,"ddd"))</f>
        <v/>
      </c>
      <c r="C211" s="28" t="n"/>
      <c r="D211" s="28" t="n"/>
      <c r="E211" s="27">
        <f>IF(OR(C211="",D211=""),"",ROUND((D211-C211)*1440,0))</f>
        <v/>
      </c>
      <c r="F211" s="27" t="n"/>
      <c r="G211" s="27" t="n"/>
      <c r="H211" s="27" t="n"/>
      <c r="I211" s="27" t="n"/>
      <c r="J211" s="27" t="n"/>
      <c r="K211" s="29" t="n"/>
      <c r="L211" s="27" t="n"/>
      <c r="M211" s="27" t="n"/>
    </row>
    <row r="212">
      <c r="A212" s="22" t="n"/>
      <c r="B212" s="23">
        <f>IF(A212="","",TEXT(A212,"ddd"))</f>
        <v/>
      </c>
      <c r="C212" s="24" t="n"/>
      <c r="D212" s="24" t="n"/>
      <c r="E212" s="23">
        <f>IF(OR(C212="",D212=""),"",ROUND((D212-C212)*1440,0))</f>
        <v/>
      </c>
      <c r="F212" s="23" t="n"/>
      <c r="G212" s="23" t="n"/>
      <c r="H212" s="23" t="n"/>
      <c r="I212" s="23" t="n"/>
      <c r="J212" s="23" t="n"/>
      <c r="K212" s="25" t="n"/>
      <c r="L212" s="23" t="n"/>
      <c r="M212" s="23" t="n"/>
    </row>
    <row r="213">
      <c r="A213" s="26" t="n"/>
      <c r="B213" s="27">
        <f>IF(A213="","",TEXT(A213,"ddd"))</f>
        <v/>
      </c>
      <c r="C213" s="28" t="n"/>
      <c r="D213" s="28" t="n"/>
      <c r="E213" s="27">
        <f>IF(OR(C213="",D213=""),"",ROUND((D213-C213)*1440,0))</f>
        <v/>
      </c>
      <c r="F213" s="27" t="n"/>
      <c r="G213" s="27" t="n"/>
      <c r="H213" s="27" t="n"/>
      <c r="I213" s="27" t="n"/>
      <c r="J213" s="27" t="n"/>
      <c r="K213" s="29" t="n"/>
      <c r="L213" s="27" t="n"/>
      <c r="M213" s="27" t="n"/>
    </row>
    <row r="214">
      <c r="A214" s="22" t="n"/>
      <c r="B214" s="23">
        <f>IF(A214="","",TEXT(A214,"ddd"))</f>
        <v/>
      </c>
      <c r="C214" s="24" t="n"/>
      <c r="D214" s="24" t="n"/>
      <c r="E214" s="23">
        <f>IF(OR(C214="",D214=""),"",ROUND((D214-C214)*1440,0))</f>
        <v/>
      </c>
      <c r="F214" s="23" t="n"/>
      <c r="G214" s="23" t="n"/>
      <c r="H214" s="23" t="n"/>
      <c r="I214" s="23" t="n"/>
      <c r="J214" s="23" t="n"/>
      <c r="K214" s="25" t="n"/>
      <c r="L214" s="23" t="n"/>
      <c r="M214" s="23" t="n"/>
    </row>
    <row r="215">
      <c r="A215" s="26" t="n"/>
      <c r="B215" s="27">
        <f>IF(A215="","",TEXT(A215,"ddd"))</f>
        <v/>
      </c>
      <c r="C215" s="28" t="n"/>
      <c r="D215" s="28" t="n"/>
      <c r="E215" s="27">
        <f>IF(OR(C215="",D215=""),"",ROUND((D215-C215)*1440,0))</f>
        <v/>
      </c>
      <c r="F215" s="27" t="n"/>
      <c r="G215" s="27" t="n"/>
      <c r="H215" s="27" t="n"/>
      <c r="I215" s="27" t="n"/>
      <c r="J215" s="27" t="n"/>
      <c r="K215" s="29" t="n"/>
      <c r="L215" s="27" t="n"/>
      <c r="M215" s="27" t="n"/>
    </row>
    <row r="216">
      <c r="A216" s="22" t="n"/>
      <c r="B216" s="23">
        <f>IF(A216="","",TEXT(A216,"ddd"))</f>
        <v/>
      </c>
      <c r="C216" s="24" t="n"/>
      <c r="D216" s="24" t="n"/>
      <c r="E216" s="23">
        <f>IF(OR(C216="",D216=""),"",ROUND((D216-C216)*1440,0))</f>
        <v/>
      </c>
      <c r="F216" s="23" t="n"/>
      <c r="G216" s="23" t="n"/>
      <c r="H216" s="23" t="n"/>
      <c r="I216" s="23" t="n"/>
      <c r="J216" s="23" t="n"/>
      <c r="K216" s="25" t="n"/>
      <c r="L216" s="23" t="n"/>
      <c r="M216" s="23" t="n"/>
    </row>
    <row r="217">
      <c r="A217" s="26" t="n"/>
      <c r="B217" s="27">
        <f>IF(A217="","",TEXT(A217,"ddd"))</f>
        <v/>
      </c>
      <c r="C217" s="28" t="n"/>
      <c r="D217" s="28" t="n"/>
      <c r="E217" s="27">
        <f>IF(OR(C217="",D217=""),"",ROUND((D217-C217)*1440,0))</f>
        <v/>
      </c>
      <c r="F217" s="27" t="n"/>
      <c r="G217" s="27" t="n"/>
      <c r="H217" s="27" t="n"/>
      <c r="I217" s="27" t="n"/>
      <c r="J217" s="27" t="n"/>
      <c r="K217" s="29" t="n"/>
      <c r="L217" s="27" t="n"/>
      <c r="M217" s="27" t="n"/>
    </row>
    <row r="218">
      <c r="A218" s="22" t="n"/>
      <c r="B218" s="23">
        <f>IF(A218="","",TEXT(A218,"ddd"))</f>
        <v/>
      </c>
      <c r="C218" s="24" t="n"/>
      <c r="D218" s="24" t="n"/>
      <c r="E218" s="23">
        <f>IF(OR(C218="",D218=""),"",ROUND((D218-C218)*1440,0))</f>
        <v/>
      </c>
      <c r="F218" s="23" t="n"/>
      <c r="G218" s="23" t="n"/>
      <c r="H218" s="23" t="n"/>
      <c r="I218" s="23" t="n"/>
      <c r="J218" s="23" t="n"/>
      <c r="K218" s="25" t="n"/>
      <c r="L218" s="23" t="n"/>
      <c r="M218" s="23" t="n"/>
    </row>
    <row r="219">
      <c r="A219" s="26" t="n"/>
      <c r="B219" s="27">
        <f>IF(A219="","",TEXT(A219,"ddd"))</f>
        <v/>
      </c>
      <c r="C219" s="28" t="n"/>
      <c r="D219" s="28" t="n"/>
      <c r="E219" s="27">
        <f>IF(OR(C219="",D219=""),"",ROUND((D219-C219)*1440,0))</f>
        <v/>
      </c>
      <c r="F219" s="27" t="n"/>
      <c r="G219" s="27" t="n"/>
      <c r="H219" s="27" t="n"/>
      <c r="I219" s="27" t="n"/>
      <c r="J219" s="27" t="n"/>
      <c r="K219" s="29" t="n"/>
      <c r="L219" s="27" t="n"/>
      <c r="M219" s="27" t="n"/>
    </row>
    <row r="220">
      <c r="A220" s="22" t="n"/>
      <c r="B220" s="23">
        <f>IF(A220="","",TEXT(A220,"ddd"))</f>
        <v/>
      </c>
      <c r="C220" s="24" t="n"/>
      <c r="D220" s="24" t="n"/>
      <c r="E220" s="23">
        <f>IF(OR(C220="",D220=""),"",ROUND((D220-C220)*1440,0))</f>
        <v/>
      </c>
      <c r="F220" s="23" t="n"/>
      <c r="G220" s="23" t="n"/>
      <c r="H220" s="23" t="n"/>
      <c r="I220" s="23" t="n"/>
      <c r="J220" s="23" t="n"/>
      <c r="K220" s="25" t="n"/>
      <c r="L220" s="23" t="n"/>
      <c r="M220" s="23" t="n"/>
    </row>
    <row r="221">
      <c r="A221" s="26" t="n"/>
      <c r="B221" s="27">
        <f>IF(A221="","",TEXT(A221,"ddd"))</f>
        <v/>
      </c>
      <c r="C221" s="28" t="n"/>
      <c r="D221" s="28" t="n"/>
      <c r="E221" s="27">
        <f>IF(OR(C221="",D221=""),"",ROUND((D221-C221)*1440,0))</f>
        <v/>
      </c>
      <c r="F221" s="27" t="n"/>
      <c r="G221" s="27" t="n"/>
      <c r="H221" s="27" t="n"/>
      <c r="I221" s="27" t="n"/>
      <c r="J221" s="27" t="n"/>
      <c r="K221" s="29" t="n"/>
      <c r="L221" s="27" t="n"/>
      <c r="M221" s="27" t="n"/>
    </row>
    <row r="222">
      <c r="A222" s="22" t="n"/>
      <c r="B222" s="23">
        <f>IF(A222="","",TEXT(A222,"ddd"))</f>
        <v/>
      </c>
      <c r="C222" s="24" t="n"/>
      <c r="D222" s="24" t="n"/>
      <c r="E222" s="23">
        <f>IF(OR(C222="",D222=""),"",ROUND((D222-C222)*1440,0))</f>
        <v/>
      </c>
      <c r="F222" s="23" t="n"/>
      <c r="G222" s="23" t="n"/>
      <c r="H222" s="23" t="n"/>
      <c r="I222" s="23" t="n"/>
      <c r="J222" s="23" t="n"/>
      <c r="K222" s="25" t="n"/>
      <c r="L222" s="23" t="n"/>
      <c r="M222" s="23" t="n"/>
    </row>
    <row r="223">
      <c r="A223" s="26" t="n"/>
      <c r="B223" s="27">
        <f>IF(A223="","",TEXT(A223,"ddd"))</f>
        <v/>
      </c>
      <c r="C223" s="28" t="n"/>
      <c r="D223" s="28" t="n"/>
      <c r="E223" s="27">
        <f>IF(OR(C223="",D223=""),"",ROUND((D223-C223)*1440,0))</f>
        <v/>
      </c>
      <c r="F223" s="27" t="n"/>
      <c r="G223" s="27" t="n"/>
      <c r="H223" s="27" t="n"/>
      <c r="I223" s="27" t="n"/>
      <c r="J223" s="27" t="n"/>
      <c r="K223" s="29" t="n"/>
      <c r="L223" s="27" t="n"/>
      <c r="M223" s="27" t="n"/>
    </row>
    <row r="224">
      <c r="A224" s="22" t="n"/>
      <c r="B224" s="23">
        <f>IF(A224="","",TEXT(A224,"ddd"))</f>
        <v/>
      </c>
      <c r="C224" s="24" t="n"/>
      <c r="D224" s="24" t="n"/>
      <c r="E224" s="23">
        <f>IF(OR(C224="",D224=""),"",ROUND((D224-C224)*1440,0))</f>
        <v/>
      </c>
      <c r="F224" s="23" t="n"/>
      <c r="G224" s="23" t="n"/>
      <c r="H224" s="23" t="n"/>
      <c r="I224" s="23" t="n"/>
      <c r="J224" s="23" t="n"/>
      <c r="K224" s="25" t="n"/>
      <c r="L224" s="23" t="n"/>
      <c r="M224" s="23" t="n"/>
    </row>
    <row r="225">
      <c r="A225" s="26" t="n"/>
      <c r="B225" s="27">
        <f>IF(A225="","",TEXT(A225,"ddd"))</f>
        <v/>
      </c>
      <c r="C225" s="28" t="n"/>
      <c r="D225" s="28" t="n"/>
      <c r="E225" s="27">
        <f>IF(OR(C225="",D225=""),"",ROUND((D225-C225)*1440,0))</f>
        <v/>
      </c>
      <c r="F225" s="27" t="n"/>
      <c r="G225" s="27" t="n"/>
      <c r="H225" s="27" t="n"/>
      <c r="I225" s="27" t="n"/>
      <c r="J225" s="27" t="n"/>
      <c r="K225" s="29" t="n"/>
      <c r="L225" s="27" t="n"/>
      <c r="M225" s="27" t="n"/>
    </row>
    <row r="226">
      <c r="A226" s="22" t="n"/>
      <c r="B226" s="23">
        <f>IF(A226="","",TEXT(A226,"ddd"))</f>
        <v/>
      </c>
      <c r="C226" s="24" t="n"/>
      <c r="D226" s="24" t="n"/>
      <c r="E226" s="23">
        <f>IF(OR(C226="",D226=""),"",ROUND((D226-C226)*1440,0))</f>
        <v/>
      </c>
      <c r="F226" s="23" t="n"/>
      <c r="G226" s="23" t="n"/>
      <c r="H226" s="23" t="n"/>
      <c r="I226" s="23" t="n"/>
      <c r="J226" s="23" t="n"/>
      <c r="K226" s="25" t="n"/>
      <c r="L226" s="23" t="n"/>
      <c r="M226" s="23" t="n"/>
    </row>
    <row r="227">
      <c r="A227" s="26" t="n"/>
      <c r="B227" s="27">
        <f>IF(A227="","",TEXT(A227,"ddd"))</f>
        <v/>
      </c>
      <c r="C227" s="28" t="n"/>
      <c r="D227" s="28" t="n"/>
      <c r="E227" s="27">
        <f>IF(OR(C227="",D227=""),"",ROUND((D227-C227)*1440,0))</f>
        <v/>
      </c>
      <c r="F227" s="27" t="n"/>
      <c r="G227" s="27" t="n"/>
      <c r="H227" s="27" t="n"/>
      <c r="I227" s="27" t="n"/>
      <c r="J227" s="27" t="n"/>
      <c r="K227" s="29" t="n"/>
      <c r="L227" s="27" t="n"/>
      <c r="M227" s="27" t="n"/>
    </row>
    <row r="228">
      <c r="A228" s="22" t="n"/>
      <c r="B228" s="23">
        <f>IF(A228="","",TEXT(A228,"ddd"))</f>
        <v/>
      </c>
      <c r="C228" s="24" t="n"/>
      <c r="D228" s="24" t="n"/>
      <c r="E228" s="23">
        <f>IF(OR(C228="",D228=""),"",ROUND((D228-C228)*1440,0))</f>
        <v/>
      </c>
      <c r="F228" s="23" t="n"/>
      <c r="G228" s="23" t="n"/>
      <c r="H228" s="23" t="n"/>
      <c r="I228" s="23" t="n"/>
      <c r="J228" s="23" t="n"/>
      <c r="K228" s="25" t="n"/>
      <c r="L228" s="23" t="n"/>
      <c r="M228" s="23" t="n"/>
    </row>
    <row r="229">
      <c r="A229" s="26" t="n"/>
      <c r="B229" s="27">
        <f>IF(A229="","",TEXT(A229,"ddd"))</f>
        <v/>
      </c>
      <c r="C229" s="28" t="n"/>
      <c r="D229" s="28" t="n"/>
      <c r="E229" s="27">
        <f>IF(OR(C229="",D229=""),"",ROUND((D229-C229)*1440,0))</f>
        <v/>
      </c>
      <c r="F229" s="27" t="n"/>
      <c r="G229" s="27" t="n"/>
      <c r="H229" s="27" t="n"/>
      <c r="I229" s="27" t="n"/>
      <c r="J229" s="27" t="n"/>
      <c r="K229" s="29" t="n"/>
      <c r="L229" s="27" t="n"/>
      <c r="M229" s="27" t="n"/>
    </row>
    <row r="230">
      <c r="A230" s="22" t="n"/>
      <c r="B230" s="23">
        <f>IF(A230="","",TEXT(A230,"ddd"))</f>
        <v/>
      </c>
      <c r="C230" s="24" t="n"/>
      <c r="D230" s="24" t="n"/>
      <c r="E230" s="23">
        <f>IF(OR(C230="",D230=""),"",ROUND((D230-C230)*1440,0))</f>
        <v/>
      </c>
      <c r="F230" s="23" t="n"/>
      <c r="G230" s="23" t="n"/>
      <c r="H230" s="23" t="n"/>
      <c r="I230" s="23" t="n"/>
      <c r="J230" s="23" t="n"/>
      <c r="K230" s="25" t="n"/>
      <c r="L230" s="23" t="n"/>
      <c r="M230" s="23" t="n"/>
    </row>
    <row r="231">
      <c r="A231" s="26" t="n"/>
      <c r="B231" s="27">
        <f>IF(A231="","",TEXT(A231,"ddd"))</f>
        <v/>
      </c>
      <c r="C231" s="28" t="n"/>
      <c r="D231" s="28" t="n"/>
      <c r="E231" s="27">
        <f>IF(OR(C231="",D231=""),"",ROUND((D231-C231)*1440,0))</f>
        <v/>
      </c>
      <c r="F231" s="27" t="n"/>
      <c r="G231" s="27" t="n"/>
      <c r="H231" s="27" t="n"/>
      <c r="I231" s="27" t="n"/>
      <c r="J231" s="27" t="n"/>
      <c r="K231" s="29" t="n"/>
      <c r="L231" s="27" t="n"/>
      <c r="M231" s="27" t="n"/>
    </row>
    <row r="232">
      <c r="A232" s="22" t="n"/>
      <c r="B232" s="23">
        <f>IF(A232="","",TEXT(A232,"ddd"))</f>
        <v/>
      </c>
      <c r="C232" s="24" t="n"/>
      <c r="D232" s="24" t="n"/>
      <c r="E232" s="23">
        <f>IF(OR(C232="",D232=""),"",ROUND((D232-C232)*1440,0))</f>
        <v/>
      </c>
      <c r="F232" s="23" t="n"/>
      <c r="G232" s="23" t="n"/>
      <c r="H232" s="23" t="n"/>
      <c r="I232" s="23" t="n"/>
      <c r="J232" s="23" t="n"/>
      <c r="K232" s="25" t="n"/>
      <c r="L232" s="23" t="n"/>
      <c r="M232" s="23" t="n"/>
    </row>
    <row r="233">
      <c r="A233" s="26" t="n"/>
      <c r="B233" s="27">
        <f>IF(A233="","",TEXT(A233,"ddd"))</f>
        <v/>
      </c>
      <c r="C233" s="28" t="n"/>
      <c r="D233" s="28" t="n"/>
      <c r="E233" s="27">
        <f>IF(OR(C233="",D233=""),"",ROUND((D233-C233)*1440,0))</f>
        <v/>
      </c>
      <c r="F233" s="27" t="n"/>
      <c r="G233" s="27" t="n"/>
      <c r="H233" s="27" t="n"/>
      <c r="I233" s="27" t="n"/>
      <c r="J233" s="27" t="n"/>
      <c r="K233" s="29" t="n"/>
      <c r="L233" s="27" t="n"/>
      <c r="M233" s="27" t="n"/>
    </row>
    <row r="234">
      <c r="A234" s="22" t="n"/>
      <c r="B234" s="23">
        <f>IF(A234="","",TEXT(A234,"ddd"))</f>
        <v/>
      </c>
      <c r="C234" s="24" t="n"/>
      <c r="D234" s="24" t="n"/>
      <c r="E234" s="23">
        <f>IF(OR(C234="",D234=""),"",ROUND((D234-C234)*1440,0))</f>
        <v/>
      </c>
      <c r="F234" s="23" t="n"/>
      <c r="G234" s="23" t="n"/>
      <c r="H234" s="23" t="n"/>
      <c r="I234" s="23" t="n"/>
      <c r="J234" s="23" t="n"/>
      <c r="K234" s="25" t="n"/>
      <c r="L234" s="23" t="n"/>
      <c r="M234" s="23" t="n"/>
    </row>
    <row r="235">
      <c r="A235" s="26" t="n"/>
      <c r="B235" s="27">
        <f>IF(A235="","",TEXT(A235,"ddd"))</f>
        <v/>
      </c>
      <c r="C235" s="28" t="n"/>
      <c r="D235" s="28" t="n"/>
      <c r="E235" s="27">
        <f>IF(OR(C235="",D235=""),"",ROUND((D235-C235)*1440,0))</f>
        <v/>
      </c>
      <c r="F235" s="27" t="n"/>
      <c r="G235" s="27" t="n"/>
      <c r="H235" s="27" t="n"/>
      <c r="I235" s="27" t="n"/>
      <c r="J235" s="27" t="n"/>
      <c r="K235" s="29" t="n"/>
      <c r="L235" s="27" t="n"/>
      <c r="M235" s="27" t="n"/>
    </row>
    <row r="236">
      <c r="A236" s="22" t="n"/>
      <c r="B236" s="23">
        <f>IF(A236="","",TEXT(A236,"ddd"))</f>
        <v/>
      </c>
      <c r="C236" s="24" t="n"/>
      <c r="D236" s="24" t="n"/>
      <c r="E236" s="23">
        <f>IF(OR(C236="",D236=""),"",ROUND((D236-C236)*1440,0))</f>
        <v/>
      </c>
      <c r="F236" s="23" t="n"/>
      <c r="G236" s="23" t="n"/>
      <c r="H236" s="23" t="n"/>
      <c r="I236" s="23" t="n"/>
      <c r="J236" s="23" t="n"/>
      <c r="K236" s="25" t="n"/>
      <c r="L236" s="23" t="n"/>
      <c r="M236" s="23" t="n"/>
    </row>
    <row r="237">
      <c r="A237" s="26" t="n"/>
      <c r="B237" s="27">
        <f>IF(A237="","",TEXT(A237,"ddd"))</f>
        <v/>
      </c>
      <c r="C237" s="28" t="n"/>
      <c r="D237" s="28" t="n"/>
      <c r="E237" s="27">
        <f>IF(OR(C237="",D237=""),"",ROUND((D237-C237)*1440,0))</f>
        <v/>
      </c>
      <c r="F237" s="27" t="n"/>
      <c r="G237" s="27" t="n"/>
      <c r="H237" s="27" t="n"/>
      <c r="I237" s="27" t="n"/>
      <c r="J237" s="27" t="n"/>
      <c r="K237" s="29" t="n"/>
      <c r="L237" s="27" t="n"/>
      <c r="M237" s="27" t="n"/>
    </row>
    <row r="238">
      <c r="A238" s="22" t="n"/>
      <c r="B238" s="23">
        <f>IF(A238="","",TEXT(A238,"ddd"))</f>
        <v/>
      </c>
      <c r="C238" s="24" t="n"/>
      <c r="D238" s="24" t="n"/>
      <c r="E238" s="23">
        <f>IF(OR(C238="",D238=""),"",ROUND((D238-C238)*1440,0))</f>
        <v/>
      </c>
      <c r="F238" s="23" t="n"/>
      <c r="G238" s="23" t="n"/>
      <c r="H238" s="23" t="n"/>
      <c r="I238" s="23" t="n"/>
      <c r="J238" s="23" t="n"/>
      <c r="K238" s="25" t="n"/>
      <c r="L238" s="23" t="n"/>
      <c r="M238" s="23" t="n"/>
    </row>
    <row r="239">
      <c r="A239" s="26" t="n"/>
      <c r="B239" s="27">
        <f>IF(A239="","",TEXT(A239,"ddd"))</f>
        <v/>
      </c>
      <c r="C239" s="28" t="n"/>
      <c r="D239" s="28" t="n"/>
      <c r="E239" s="27">
        <f>IF(OR(C239="",D239=""),"",ROUND((D239-C239)*1440,0))</f>
        <v/>
      </c>
      <c r="F239" s="27" t="n"/>
      <c r="G239" s="27" t="n"/>
      <c r="H239" s="27" t="n"/>
      <c r="I239" s="27" t="n"/>
      <c r="J239" s="27" t="n"/>
      <c r="K239" s="29" t="n"/>
      <c r="L239" s="27" t="n"/>
      <c r="M239" s="27" t="n"/>
    </row>
    <row r="240">
      <c r="A240" s="22" t="n"/>
      <c r="B240" s="23">
        <f>IF(A240="","",TEXT(A240,"ddd"))</f>
        <v/>
      </c>
      <c r="C240" s="24" t="n"/>
      <c r="D240" s="24" t="n"/>
      <c r="E240" s="23">
        <f>IF(OR(C240="",D240=""),"",ROUND((D240-C240)*1440,0))</f>
        <v/>
      </c>
      <c r="F240" s="23" t="n"/>
      <c r="G240" s="23" t="n"/>
      <c r="H240" s="23" t="n"/>
      <c r="I240" s="23" t="n"/>
      <c r="J240" s="23" t="n"/>
      <c r="K240" s="25" t="n"/>
      <c r="L240" s="23" t="n"/>
      <c r="M240" s="23" t="n"/>
    </row>
    <row r="241">
      <c r="A241" s="26" t="n"/>
      <c r="B241" s="27">
        <f>IF(A241="","",TEXT(A241,"ddd"))</f>
        <v/>
      </c>
      <c r="C241" s="28" t="n"/>
      <c r="D241" s="28" t="n"/>
      <c r="E241" s="27">
        <f>IF(OR(C241="",D241=""),"",ROUND((D241-C241)*1440,0))</f>
        <v/>
      </c>
      <c r="F241" s="27" t="n"/>
      <c r="G241" s="27" t="n"/>
      <c r="H241" s="27" t="n"/>
      <c r="I241" s="27" t="n"/>
      <c r="J241" s="27" t="n"/>
      <c r="K241" s="29" t="n"/>
      <c r="L241" s="27" t="n"/>
      <c r="M241" s="27" t="n"/>
    </row>
    <row r="242">
      <c r="A242" s="22" t="n"/>
      <c r="B242" s="23">
        <f>IF(A242="","",TEXT(A242,"ddd"))</f>
        <v/>
      </c>
      <c r="C242" s="24" t="n"/>
      <c r="D242" s="24" t="n"/>
      <c r="E242" s="23">
        <f>IF(OR(C242="",D242=""),"",ROUND((D242-C242)*1440,0))</f>
        <v/>
      </c>
      <c r="F242" s="23" t="n"/>
      <c r="G242" s="23" t="n"/>
      <c r="H242" s="23" t="n"/>
      <c r="I242" s="23" t="n"/>
      <c r="J242" s="23" t="n"/>
      <c r="K242" s="25" t="n"/>
      <c r="L242" s="23" t="n"/>
      <c r="M242" s="23" t="n"/>
    </row>
    <row r="243">
      <c r="A243" s="26" t="n"/>
      <c r="B243" s="27">
        <f>IF(A243="","",TEXT(A243,"ddd"))</f>
        <v/>
      </c>
      <c r="C243" s="28" t="n"/>
      <c r="D243" s="28" t="n"/>
      <c r="E243" s="27">
        <f>IF(OR(C243="",D243=""),"",ROUND((D243-C243)*1440,0))</f>
        <v/>
      </c>
      <c r="F243" s="27" t="n"/>
      <c r="G243" s="27" t="n"/>
      <c r="H243" s="27" t="n"/>
      <c r="I243" s="27" t="n"/>
      <c r="J243" s="27" t="n"/>
      <c r="K243" s="29" t="n"/>
      <c r="L243" s="27" t="n"/>
      <c r="M243" s="27" t="n"/>
    </row>
    <row r="244">
      <c r="A244" s="22" t="n"/>
      <c r="B244" s="23">
        <f>IF(A244="","",TEXT(A244,"ddd"))</f>
        <v/>
      </c>
      <c r="C244" s="24" t="n"/>
      <c r="D244" s="24" t="n"/>
      <c r="E244" s="23">
        <f>IF(OR(C244="",D244=""),"",ROUND((D244-C244)*1440,0))</f>
        <v/>
      </c>
      <c r="F244" s="23" t="n"/>
      <c r="G244" s="23" t="n"/>
      <c r="H244" s="23" t="n"/>
      <c r="I244" s="23" t="n"/>
      <c r="J244" s="23" t="n"/>
      <c r="K244" s="25" t="n"/>
      <c r="L244" s="23" t="n"/>
      <c r="M244" s="23" t="n"/>
    </row>
    <row r="245">
      <c r="A245" s="26" t="n"/>
      <c r="B245" s="27">
        <f>IF(A245="","",TEXT(A245,"ddd"))</f>
        <v/>
      </c>
      <c r="C245" s="28" t="n"/>
      <c r="D245" s="28" t="n"/>
      <c r="E245" s="27">
        <f>IF(OR(C245="",D245=""),"",ROUND((D245-C245)*1440,0))</f>
        <v/>
      </c>
      <c r="F245" s="27" t="n"/>
      <c r="G245" s="27" t="n"/>
      <c r="H245" s="27" t="n"/>
      <c r="I245" s="27" t="n"/>
      <c r="J245" s="27" t="n"/>
      <c r="K245" s="29" t="n"/>
      <c r="L245" s="27" t="n"/>
      <c r="M245" s="27" t="n"/>
    </row>
    <row r="246">
      <c r="A246" s="22" t="n"/>
      <c r="B246" s="23">
        <f>IF(A246="","",TEXT(A246,"ddd"))</f>
        <v/>
      </c>
      <c r="C246" s="24" t="n"/>
      <c r="D246" s="24" t="n"/>
      <c r="E246" s="23">
        <f>IF(OR(C246="",D246=""),"",ROUND((D246-C246)*1440,0))</f>
        <v/>
      </c>
      <c r="F246" s="23" t="n"/>
      <c r="G246" s="23" t="n"/>
      <c r="H246" s="23" t="n"/>
      <c r="I246" s="23" t="n"/>
      <c r="J246" s="23" t="n"/>
      <c r="K246" s="25" t="n"/>
      <c r="L246" s="23" t="n"/>
      <c r="M246" s="23" t="n"/>
    </row>
    <row r="247">
      <c r="A247" s="26" t="n"/>
      <c r="B247" s="27">
        <f>IF(A247="","",TEXT(A247,"ddd"))</f>
        <v/>
      </c>
      <c r="C247" s="28" t="n"/>
      <c r="D247" s="28" t="n"/>
      <c r="E247" s="27">
        <f>IF(OR(C247="",D247=""),"",ROUND((D247-C247)*1440,0))</f>
        <v/>
      </c>
      <c r="F247" s="27" t="n"/>
      <c r="G247" s="27" t="n"/>
      <c r="H247" s="27" t="n"/>
      <c r="I247" s="27" t="n"/>
      <c r="J247" s="27" t="n"/>
      <c r="K247" s="29" t="n"/>
      <c r="L247" s="27" t="n"/>
      <c r="M247" s="27" t="n"/>
    </row>
    <row r="248">
      <c r="A248" s="22" t="n"/>
      <c r="B248" s="23">
        <f>IF(A248="","",TEXT(A248,"ddd"))</f>
        <v/>
      </c>
      <c r="C248" s="24" t="n"/>
      <c r="D248" s="24" t="n"/>
      <c r="E248" s="23">
        <f>IF(OR(C248="",D248=""),"",ROUND((D248-C248)*1440,0))</f>
        <v/>
      </c>
      <c r="F248" s="23" t="n"/>
      <c r="G248" s="23" t="n"/>
      <c r="H248" s="23" t="n"/>
      <c r="I248" s="23" t="n"/>
      <c r="J248" s="23" t="n"/>
      <c r="K248" s="25" t="n"/>
      <c r="L248" s="23" t="n"/>
      <c r="M248" s="23" t="n"/>
    </row>
    <row r="249">
      <c r="A249" s="26" t="n"/>
      <c r="B249" s="27">
        <f>IF(A249="","",TEXT(A249,"ddd"))</f>
        <v/>
      </c>
      <c r="C249" s="28" t="n"/>
      <c r="D249" s="28" t="n"/>
      <c r="E249" s="27">
        <f>IF(OR(C249="",D249=""),"",ROUND((D249-C249)*1440,0))</f>
        <v/>
      </c>
      <c r="F249" s="27" t="n"/>
      <c r="G249" s="27" t="n"/>
      <c r="H249" s="27" t="n"/>
      <c r="I249" s="27" t="n"/>
      <c r="J249" s="27" t="n"/>
      <c r="K249" s="29" t="n"/>
      <c r="L249" s="27" t="n"/>
      <c r="M249" s="27" t="n"/>
    </row>
    <row r="250">
      <c r="A250" s="22" t="n"/>
      <c r="B250" s="23">
        <f>IF(A250="","",TEXT(A250,"ddd"))</f>
        <v/>
      </c>
      <c r="C250" s="24" t="n"/>
      <c r="D250" s="24" t="n"/>
      <c r="E250" s="23">
        <f>IF(OR(C250="",D250=""),"",ROUND((D250-C250)*1440,0))</f>
        <v/>
      </c>
      <c r="F250" s="23" t="n"/>
      <c r="G250" s="23" t="n"/>
      <c r="H250" s="23" t="n"/>
      <c r="I250" s="23" t="n"/>
      <c r="J250" s="23" t="n"/>
      <c r="K250" s="25" t="n"/>
      <c r="L250" s="23" t="n"/>
      <c r="M250" s="23" t="n"/>
    </row>
    <row r="251">
      <c r="A251" s="26" t="n"/>
      <c r="B251" s="27">
        <f>IF(A251="","",TEXT(A251,"ddd"))</f>
        <v/>
      </c>
      <c r="C251" s="28" t="n"/>
      <c r="D251" s="28" t="n"/>
      <c r="E251" s="27">
        <f>IF(OR(C251="",D251=""),"",ROUND((D251-C251)*1440,0))</f>
        <v/>
      </c>
      <c r="F251" s="27" t="n"/>
      <c r="G251" s="27" t="n"/>
      <c r="H251" s="27" t="n"/>
      <c r="I251" s="27" t="n"/>
      <c r="J251" s="27" t="n"/>
      <c r="K251" s="29" t="n"/>
      <c r="L251" s="27" t="n"/>
      <c r="M251" s="27" t="n"/>
    </row>
    <row r="252">
      <c r="A252" s="22" t="n"/>
      <c r="B252" s="23">
        <f>IF(A252="","",TEXT(A252,"ddd"))</f>
        <v/>
      </c>
      <c r="C252" s="24" t="n"/>
      <c r="D252" s="24" t="n"/>
      <c r="E252" s="23">
        <f>IF(OR(C252="",D252=""),"",ROUND((D252-C252)*1440,0))</f>
        <v/>
      </c>
      <c r="F252" s="23" t="n"/>
      <c r="G252" s="23" t="n"/>
      <c r="H252" s="23" t="n"/>
      <c r="I252" s="23" t="n"/>
      <c r="J252" s="23" t="n"/>
      <c r="K252" s="25" t="n"/>
      <c r="L252" s="23" t="n"/>
      <c r="M252" s="23" t="n"/>
    </row>
    <row r="253">
      <c r="A253" s="26" t="n"/>
      <c r="B253" s="27">
        <f>IF(A253="","",TEXT(A253,"ddd"))</f>
        <v/>
      </c>
      <c r="C253" s="28" t="n"/>
      <c r="D253" s="28" t="n"/>
      <c r="E253" s="27">
        <f>IF(OR(C253="",D253=""),"",ROUND((D253-C253)*1440,0))</f>
        <v/>
      </c>
      <c r="F253" s="27" t="n"/>
      <c r="G253" s="27" t="n"/>
      <c r="H253" s="27" t="n"/>
      <c r="I253" s="27" t="n"/>
      <c r="J253" s="27" t="n"/>
      <c r="K253" s="29" t="n"/>
      <c r="L253" s="27" t="n"/>
      <c r="M253" s="27" t="n"/>
    </row>
    <row r="254">
      <c r="A254" s="22" t="n"/>
      <c r="B254" s="23">
        <f>IF(A254="","",TEXT(A254,"ddd"))</f>
        <v/>
      </c>
      <c r="C254" s="24" t="n"/>
      <c r="D254" s="24" t="n"/>
      <c r="E254" s="23">
        <f>IF(OR(C254="",D254=""),"",ROUND((D254-C254)*1440,0))</f>
        <v/>
      </c>
      <c r="F254" s="23" t="n"/>
      <c r="G254" s="23" t="n"/>
      <c r="H254" s="23" t="n"/>
      <c r="I254" s="23" t="n"/>
      <c r="J254" s="23" t="n"/>
      <c r="K254" s="25" t="n"/>
      <c r="L254" s="23" t="n"/>
      <c r="M254" s="23" t="n"/>
    </row>
    <row r="255">
      <c r="A255" s="26" t="n"/>
      <c r="B255" s="27">
        <f>IF(A255="","",TEXT(A255,"ddd"))</f>
        <v/>
      </c>
      <c r="C255" s="28" t="n"/>
      <c r="D255" s="28" t="n"/>
      <c r="E255" s="27">
        <f>IF(OR(C255="",D255=""),"",ROUND((D255-C255)*1440,0))</f>
        <v/>
      </c>
      <c r="F255" s="27" t="n"/>
      <c r="G255" s="27" t="n"/>
      <c r="H255" s="27" t="n"/>
      <c r="I255" s="27" t="n"/>
      <c r="J255" s="27" t="n"/>
      <c r="K255" s="29" t="n"/>
      <c r="L255" s="27" t="n"/>
      <c r="M255" s="27" t="n"/>
    </row>
    <row r="256">
      <c r="A256" s="22" t="n"/>
      <c r="B256" s="23">
        <f>IF(A256="","",TEXT(A256,"ddd"))</f>
        <v/>
      </c>
      <c r="C256" s="24" t="n"/>
      <c r="D256" s="24" t="n"/>
      <c r="E256" s="23">
        <f>IF(OR(C256="",D256=""),"",ROUND((D256-C256)*1440,0))</f>
        <v/>
      </c>
      <c r="F256" s="23" t="n"/>
      <c r="G256" s="23" t="n"/>
      <c r="H256" s="23" t="n"/>
      <c r="I256" s="23" t="n"/>
      <c r="J256" s="23" t="n"/>
      <c r="K256" s="25" t="n"/>
      <c r="L256" s="23" t="n"/>
      <c r="M256" s="23" t="n"/>
    </row>
    <row r="257">
      <c r="A257" s="26" t="n"/>
      <c r="B257" s="27">
        <f>IF(A257="","",TEXT(A257,"ddd"))</f>
        <v/>
      </c>
      <c r="C257" s="28" t="n"/>
      <c r="D257" s="28" t="n"/>
      <c r="E257" s="27">
        <f>IF(OR(C257="",D257=""),"",ROUND((D257-C257)*1440,0))</f>
        <v/>
      </c>
      <c r="F257" s="27" t="n"/>
      <c r="G257" s="27" t="n"/>
      <c r="H257" s="27" t="n"/>
      <c r="I257" s="27" t="n"/>
      <c r="J257" s="27" t="n"/>
      <c r="K257" s="29" t="n"/>
      <c r="L257" s="27" t="n"/>
      <c r="M257" s="27" t="n"/>
    </row>
    <row r="258">
      <c r="A258" s="22" t="n"/>
      <c r="B258" s="23">
        <f>IF(A258="","",TEXT(A258,"ddd"))</f>
        <v/>
      </c>
      <c r="C258" s="24" t="n"/>
      <c r="D258" s="24" t="n"/>
      <c r="E258" s="23">
        <f>IF(OR(C258="",D258=""),"",ROUND((D258-C258)*1440,0))</f>
        <v/>
      </c>
      <c r="F258" s="23" t="n"/>
      <c r="G258" s="23" t="n"/>
      <c r="H258" s="23" t="n"/>
      <c r="I258" s="23" t="n"/>
      <c r="J258" s="23" t="n"/>
      <c r="K258" s="25" t="n"/>
      <c r="L258" s="23" t="n"/>
      <c r="M258" s="23" t="n"/>
    </row>
    <row r="259">
      <c r="A259" s="26" t="n"/>
      <c r="B259" s="27">
        <f>IF(A259="","",TEXT(A259,"ddd"))</f>
        <v/>
      </c>
      <c r="C259" s="28" t="n"/>
      <c r="D259" s="28" t="n"/>
      <c r="E259" s="27">
        <f>IF(OR(C259="",D259=""),"",ROUND((D259-C259)*1440,0))</f>
        <v/>
      </c>
      <c r="F259" s="27" t="n"/>
      <c r="G259" s="27" t="n"/>
      <c r="H259" s="27" t="n"/>
      <c r="I259" s="27" t="n"/>
      <c r="J259" s="27" t="n"/>
      <c r="K259" s="29" t="n"/>
      <c r="L259" s="27" t="n"/>
      <c r="M259" s="27" t="n"/>
    </row>
    <row r="260">
      <c r="A260" s="22" t="n"/>
      <c r="B260" s="23">
        <f>IF(A260="","",TEXT(A260,"ddd"))</f>
        <v/>
      </c>
      <c r="C260" s="24" t="n"/>
      <c r="D260" s="24" t="n"/>
      <c r="E260" s="23">
        <f>IF(OR(C260="",D260=""),"",ROUND((D260-C260)*1440,0))</f>
        <v/>
      </c>
      <c r="F260" s="23" t="n"/>
      <c r="G260" s="23" t="n"/>
      <c r="H260" s="23" t="n"/>
      <c r="I260" s="23" t="n"/>
      <c r="J260" s="23" t="n"/>
      <c r="K260" s="25" t="n"/>
      <c r="L260" s="23" t="n"/>
      <c r="M260" s="23" t="n"/>
    </row>
    <row r="261">
      <c r="A261" s="26" t="n"/>
      <c r="B261" s="27">
        <f>IF(A261="","",TEXT(A261,"ddd"))</f>
        <v/>
      </c>
      <c r="C261" s="28" t="n"/>
      <c r="D261" s="28" t="n"/>
      <c r="E261" s="27">
        <f>IF(OR(C261="",D261=""),"",ROUND((D261-C261)*1440,0))</f>
        <v/>
      </c>
      <c r="F261" s="27" t="n"/>
      <c r="G261" s="27" t="n"/>
      <c r="H261" s="27" t="n"/>
      <c r="I261" s="27" t="n"/>
      <c r="J261" s="27" t="n"/>
      <c r="K261" s="29" t="n"/>
      <c r="L261" s="27" t="n"/>
      <c r="M261" s="27" t="n"/>
    </row>
    <row r="262">
      <c r="A262" s="22" t="n"/>
      <c r="B262" s="23">
        <f>IF(A262="","",TEXT(A262,"ddd"))</f>
        <v/>
      </c>
      <c r="C262" s="24" t="n"/>
      <c r="D262" s="24" t="n"/>
      <c r="E262" s="23">
        <f>IF(OR(C262="",D262=""),"",ROUND((D262-C262)*1440,0))</f>
        <v/>
      </c>
      <c r="F262" s="23" t="n"/>
      <c r="G262" s="23" t="n"/>
      <c r="H262" s="23" t="n"/>
      <c r="I262" s="23" t="n"/>
      <c r="J262" s="23" t="n"/>
      <c r="K262" s="25" t="n"/>
      <c r="L262" s="23" t="n"/>
      <c r="M262" s="23" t="n"/>
    </row>
    <row r="263">
      <c r="A263" s="26" t="n"/>
      <c r="B263" s="27">
        <f>IF(A263="","",TEXT(A263,"ddd"))</f>
        <v/>
      </c>
      <c r="C263" s="28" t="n"/>
      <c r="D263" s="28" t="n"/>
      <c r="E263" s="27">
        <f>IF(OR(C263="",D263=""),"",ROUND((D263-C263)*1440,0))</f>
        <v/>
      </c>
      <c r="F263" s="27" t="n"/>
      <c r="G263" s="27" t="n"/>
      <c r="H263" s="27" t="n"/>
      <c r="I263" s="27" t="n"/>
      <c r="J263" s="27" t="n"/>
      <c r="K263" s="29" t="n"/>
      <c r="L263" s="27" t="n"/>
      <c r="M263" s="27" t="n"/>
    </row>
    <row r="264">
      <c r="A264" s="22" t="n"/>
      <c r="B264" s="23">
        <f>IF(A264="","",TEXT(A264,"ddd"))</f>
        <v/>
      </c>
      <c r="C264" s="24" t="n"/>
      <c r="D264" s="24" t="n"/>
      <c r="E264" s="23">
        <f>IF(OR(C264="",D264=""),"",ROUND((D264-C264)*1440,0))</f>
        <v/>
      </c>
      <c r="F264" s="23" t="n"/>
      <c r="G264" s="23" t="n"/>
      <c r="H264" s="23" t="n"/>
      <c r="I264" s="23" t="n"/>
      <c r="J264" s="23" t="n"/>
      <c r="K264" s="25" t="n"/>
      <c r="L264" s="23" t="n"/>
      <c r="M264" s="23" t="n"/>
    </row>
    <row r="265">
      <c r="A265" s="26" t="n"/>
      <c r="B265" s="27">
        <f>IF(A265="","",TEXT(A265,"ddd"))</f>
        <v/>
      </c>
      <c r="C265" s="28" t="n"/>
      <c r="D265" s="28" t="n"/>
      <c r="E265" s="27">
        <f>IF(OR(C265="",D265=""),"",ROUND((D265-C265)*1440,0))</f>
        <v/>
      </c>
      <c r="F265" s="27" t="n"/>
      <c r="G265" s="27" t="n"/>
      <c r="H265" s="27" t="n"/>
      <c r="I265" s="27" t="n"/>
      <c r="J265" s="27" t="n"/>
      <c r="K265" s="29" t="n"/>
      <c r="L265" s="27" t="n"/>
      <c r="M265" s="27" t="n"/>
    </row>
    <row r="266">
      <c r="A266" s="22" t="n"/>
      <c r="B266" s="23">
        <f>IF(A266="","",TEXT(A266,"ddd"))</f>
        <v/>
      </c>
      <c r="C266" s="24" t="n"/>
      <c r="D266" s="24" t="n"/>
      <c r="E266" s="23">
        <f>IF(OR(C266="",D266=""),"",ROUND((D266-C266)*1440,0))</f>
        <v/>
      </c>
      <c r="F266" s="23" t="n"/>
      <c r="G266" s="23" t="n"/>
      <c r="H266" s="23" t="n"/>
      <c r="I266" s="23" t="n"/>
      <c r="J266" s="23" t="n"/>
      <c r="K266" s="25" t="n"/>
      <c r="L266" s="23" t="n"/>
      <c r="M266" s="23" t="n"/>
    </row>
    <row r="267">
      <c r="A267" s="26" t="n"/>
      <c r="B267" s="27">
        <f>IF(A267="","",TEXT(A267,"ddd"))</f>
        <v/>
      </c>
      <c r="C267" s="28" t="n"/>
      <c r="D267" s="28" t="n"/>
      <c r="E267" s="27">
        <f>IF(OR(C267="",D267=""),"",ROUND((D267-C267)*1440,0))</f>
        <v/>
      </c>
      <c r="F267" s="27" t="n"/>
      <c r="G267" s="27" t="n"/>
      <c r="H267" s="27" t="n"/>
      <c r="I267" s="27" t="n"/>
      <c r="J267" s="27" t="n"/>
      <c r="K267" s="29" t="n"/>
      <c r="L267" s="27" t="n"/>
      <c r="M267" s="27" t="n"/>
    </row>
    <row r="268">
      <c r="A268" s="22" t="n"/>
      <c r="B268" s="23">
        <f>IF(A268="","",TEXT(A268,"ddd"))</f>
        <v/>
      </c>
      <c r="C268" s="24" t="n"/>
      <c r="D268" s="24" t="n"/>
      <c r="E268" s="23">
        <f>IF(OR(C268="",D268=""),"",ROUND((D268-C268)*1440,0))</f>
        <v/>
      </c>
      <c r="F268" s="23" t="n"/>
      <c r="G268" s="23" t="n"/>
      <c r="H268" s="23" t="n"/>
      <c r="I268" s="23" t="n"/>
      <c r="J268" s="23" t="n"/>
      <c r="K268" s="25" t="n"/>
      <c r="L268" s="23" t="n"/>
      <c r="M268" s="23" t="n"/>
    </row>
    <row r="269">
      <c r="A269" s="26" t="n"/>
      <c r="B269" s="27">
        <f>IF(A269="","",TEXT(A269,"ddd"))</f>
        <v/>
      </c>
      <c r="C269" s="28" t="n"/>
      <c r="D269" s="28" t="n"/>
      <c r="E269" s="27">
        <f>IF(OR(C269="",D269=""),"",ROUND((D269-C269)*1440,0))</f>
        <v/>
      </c>
      <c r="F269" s="27" t="n"/>
      <c r="G269" s="27" t="n"/>
      <c r="H269" s="27" t="n"/>
      <c r="I269" s="27" t="n"/>
      <c r="J269" s="27" t="n"/>
      <c r="K269" s="29" t="n"/>
      <c r="L269" s="27" t="n"/>
      <c r="M269" s="27" t="n"/>
    </row>
    <row r="270">
      <c r="A270" s="22" t="n"/>
      <c r="B270" s="23">
        <f>IF(A270="","",TEXT(A270,"ddd"))</f>
        <v/>
      </c>
      <c r="C270" s="24" t="n"/>
      <c r="D270" s="24" t="n"/>
      <c r="E270" s="23">
        <f>IF(OR(C270="",D270=""),"",ROUND((D270-C270)*1440,0))</f>
        <v/>
      </c>
      <c r="F270" s="23" t="n"/>
      <c r="G270" s="23" t="n"/>
      <c r="H270" s="23" t="n"/>
      <c r="I270" s="23" t="n"/>
      <c r="J270" s="23" t="n"/>
      <c r="K270" s="25" t="n"/>
      <c r="L270" s="23" t="n"/>
      <c r="M270" s="23" t="n"/>
    </row>
    <row r="271">
      <c r="A271" s="26" t="n"/>
      <c r="B271" s="27">
        <f>IF(A271="","",TEXT(A271,"ddd"))</f>
        <v/>
      </c>
      <c r="C271" s="28" t="n"/>
      <c r="D271" s="28" t="n"/>
      <c r="E271" s="27">
        <f>IF(OR(C271="",D271=""),"",ROUND((D271-C271)*1440,0))</f>
        <v/>
      </c>
      <c r="F271" s="27" t="n"/>
      <c r="G271" s="27" t="n"/>
      <c r="H271" s="27" t="n"/>
      <c r="I271" s="27" t="n"/>
      <c r="J271" s="27" t="n"/>
      <c r="K271" s="29" t="n"/>
      <c r="L271" s="27" t="n"/>
      <c r="M271" s="27" t="n"/>
    </row>
    <row r="272">
      <c r="A272" s="22" t="n"/>
      <c r="B272" s="23">
        <f>IF(A272="","",TEXT(A272,"ddd"))</f>
        <v/>
      </c>
      <c r="C272" s="24" t="n"/>
      <c r="D272" s="24" t="n"/>
      <c r="E272" s="23">
        <f>IF(OR(C272="",D272=""),"",ROUND((D272-C272)*1440,0))</f>
        <v/>
      </c>
      <c r="F272" s="23" t="n"/>
      <c r="G272" s="23" t="n"/>
      <c r="H272" s="23" t="n"/>
      <c r="I272" s="23" t="n"/>
      <c r="J272" s="23" t="n"/>
      <c r="K272" s="25" t="n"/>
      <c r="L272" s="23" t="n"/>
      <c r="M272" s="23" t="n"/>
    </row>
    <row r="273">
      <c r="A273" s="26" t="n"/>
      <c r="B273" s="27">
        <f>IF(A273="","",TEXT(A273,"ddd"))</f>
        <v/>
      </c>
      <c r="C273" s="28" t="n"/>
      <c r="D273" s="28" t="n"/>
      <c r="E273" s="27">
        <f>IF(OR(C273="",D273=""),"",ROUND((D273-C273)*1440,0))</f>
        <v/>
      </c>
      <c r="F273" s="27" t="n"/>
      <c r="G273" s="27" t="n"/>
      <c r="H273" s="27" t="n"/>
      <c r="I273" s="27" t="n"/>
      <c r="J273" s="27" t="n"/>
      <c r="K273" s="29" t="n"/>
      <c r="L273" s="27" t="n"/>
      <c r="M273" s="27" t="n"/>
    </row>
    <row r="274">
      <c r="A274" s="22" t="n"/>
      <c r="B274" s="23">
        <f>IF(A274="","",TEXT(A274,"ddd"))</f>
        <v/>
      </c>
      <c r="C274" s="24" t="n"/>
      <c r="D274" s="24" t="n"/>
      <c r="E274" s="23">
        <f>IF(OR(C274="",D274=""),"",ROUND((D274-C274)*1440,0))</f>
        <v/>
      </c>
      <c r="F274" s="23" t="n"/>
      <c r="G274" s="23" t="n"/>
      <c r="H274" s="23" t="n"/>
      <c r="I274" s="23" t="n"/>
      <c r="J274" s="23" t="n"/>
      <c r="K274" s="25" t="n"/>
      <c r="L274" s="23" t="n"/>
      <c r="M274" s="23" t="n"/>
    </row>
    <row r="275">
      <c r="A275" s="26" t="n"/>
      <c r="B275" s="27">
        <f>IF(A275="","",TEXT(A275,"ddd"))</f>
        <v/>
      </c>
      <c r="C275" s="28" t="n"/>
      <c r="D275" s="28" t="n"/>
      <c r="E275" s="27">
        <f>IF(OR(C275="",D275=""),"",ROUND((D275-C275)*1440,0))</f>
        <v/>
      </c>
      <c r="F275" s="27" t="n"/>
      <c r="G275" s="27" t="n"/>
      <c r="H275" s="27" t="n"/>
      <c r="I275" s="27" t="n"/>
      <c r="J275" s="27" t="n"/>
      <c r="K275" s="29" t="n"/>
      <c r="L275" s="27" t="n"/>
      <c r="M275" s="27" t="n"/>
    </row>
    <row r="276">
      <c r="A276" s="22" t="n"/>
      <c r="B276" s="23">
        <f>IF(A276="","",TEXT(A276,"ddd"))</f>
        <v/>
      </c>
      <c r="C276" s="24" t="n"/>
      <c r="D276" s="24" t="n"/>
      <c r="E276" s="23">
        <f>IF(OR(C276="",D276=""),"",ROUND((D276-C276)*1440,0))</f>
        <v/>
      </c>
      <c r="F276" s="23" t="n"/>
      <c r="G276" s="23" t="n"/>
      <c r="H276" s="23" t="n"/>
      <c r="I276" s="23" t="n"/>
      <c r="J276" s="23" t="n"/>
      <c r="K276" s="25" t="n"/>
      <c r="L276" s="23" t="n"/>
      <c r="M276" s="23" t="n"/>
    </row>
    <row r="277">
      <c r="A277" s="26" t="n"/>
      <c r="B277" s="27">
        <f>IF(A277="","",TEXT(A277,"ddd"))</f>
        <v/>
      </c>
      <c r="C277" s="28" t="n"/>
      <c r="D277" s="28" t="n"/>
      <c r="E277" s="27">
        <f>IF(OR(C277="",D277=""),"",ROUND((D277-C277)*1440,0))</f>
        <v/>
      </c>
      <c r="F277" s="27" t="n"/>
      <c r="G277" s="27" t="n"/>
      <c r="H277" s="27" t="n"/>
      <c r="I277" s="27" t="n"/>
      <c r="J277" s="27" t="n"/>
      <c r="K277" s="29" t="n"/>
      <c r="L277" s="27" t="n"/>
      <c r="M277" s="27" t="n"/>
    </row>
    <row r="278">
      <c r="A278" s="22" t="n"/>
      <c r="B278" s="23">
        <f>IF(A278="","",TEXT(A278,"ddd"))</f>
        <v/>
      </c>
      <c r="C278" s="24" t="n"/>
      <c r="D278" s="24" t="n"/>
      <c r="E278" s="23">
        <f>IF(OR(C278="",D278=""),"",ROUND((D278-C278)*1440,0))</f>
        <v/>
      </c>
      <c r="F278" s="23" t="n"/>
      <c r="G278" s="23" t="n"/>
      <c r="H278" s="23" t="n"/>
      <c r="I278" s="23" t="n"/>
      <c r="J278" s="23" t="n"/>
      <c r="K278" s="25" t="n"/>
      <c r="L278" s="23" t="n"/>
      <c r="M278" s="23" t="n"/>
    </row>
    <row r="279">
      <c r="A279" s="26" t="n"/>
      <c r="B279" s="27">
        <f>IF(A279="","",TEXT(A279,"ddd"))</f>
        <v/>
      </c>
      <c r="C279" s="28" t="n"/>
      <c r="D279" s="28" t="n"/>
      <c r="E279" s="27">
        <f>IF(OR(C279="",D279=""),"",ROUND((D279-C279)*1440,0))</f>
        <v/>
      </c>
      <c r="F279" s="27" t="n"/>
      <c r="G279" s="27" t="n"/>
      <c r="H279" s="27" t="n"/>
      <c r="I279" s="27" t="n"/>
      <c r="J279" s="27" t="n"/>
      <c r="K279" s="29" t="n"/>
      <c r="L279" s="27" t="n"/>
      <c r="M279" s="27" t="n"/>
    </row>
    <row r="280">
      <c r="A280" s="22" t="n"/>
      <c r="B280" s="23">
        <f>IF(A280="","",TEXT(A280,"ddd"))</f>
        <v/>
      </c>
      <c r="C280" s="24" t="n"/>
      <c r="D280" s="24" t="n"/>
      <c r="E280" s="23">
        <f>IF(OR(C280="",D280=""),"",ROUND((D280-C280)*1440,0))</f>
        <v/>
      </c>
      <c r="F280" s="23" t="n"/>
      <c r="G280" s="23" t="n"/>
      <c r="H280" s="23" t="n"/>
      <c r="I280" s="23" t="n"/>
      <c r="J280" s="23" t="n"/>
      <c r="K280" s="25" t="n"/>
      <c r="L280" s="23" t="n"/>
      <c r="M280" s="23" t="n"/>
    </row>
    <row r="281">
      <c r="A281" s="26" t="n"/>
      <c r="B281" s="27">
        <f>IF(A281="","",TEXT(A281,"ddd"))</f>
        <v/>
      </c>
      <c r="C281" s="28" t="n"/>
      <c r="D281" s="28" t="n"/>
      <c r="E281" s="27">
        <f>IF(OR(C281="",D281=""),"",ROUND((D281-C281)*1440,0))</f>
        <v/>
      </c>
      <c r="F281" s="27" t="n"/>
      <c r="G281" s="27" t="n"/>
      <c r="H281" s="27" t="n"/>
      <c r="I281" s="27" t="n"/>
      <c r="J281" s="27" t="n"/>
      <c r="K281" s="29" t="n"/>
      <c r="L281" s="27" t="n"/>
      <c r="M281" s="27" t="n"/>
    </row>
    <row r="282">
      <c r="A282" s="22" t="n"/>
      <c r="B282" s="23">
        <f>IF(A282="","",TEXT(A282,"ddd"))</f>
        <v/>
      </c>
      <c r="C282" s="24" t="n"/>
      <c r="D282" s="24" t="n"/>
      <c r="E282" s="23">
        <f>IF(OR(C282="",D282=""),"",ROUND((D282-C282)*1440,0))</f>
        <v/>
      </c>
      <c r="F282" s="23" t="n"/>
      <c r="G282" s="23" t="n"/>
      <c r="H282" s="23" t="n"/>
      <c r="I282" s="23" t="n"/>
      <c r="J282" s="23" t="n"/>
      <c r="K282" s="25" t="n"/>
      <c r="L282" s="23" t="n"/>
      <c r="M282" s="23" t="n"/>
    </row>
    <row r="283">
      <c r="A283" s="26" t="n"/>
      <c r="B283" s="27">
        <f>IF(A283="","",TEXT(A283,"ddd"))</f>
        <v/>
      </c>
      <c r="C283" s="28" t="n"/>
      <c r="D283" s="28" t="n"/>
      <c r="E283" s="27">
        <f>IF(OR(C283="",D283=""),"",ROUND((D283-C283)*1440,0))</f>
        <v/>
      </c>
      <c r="F283" s="27" t="n"/>
      <c r="G283" s="27" t="n"/>
      <c r="H283" s="27" t="n"/>
      <c r="I283" s="27" t="n"/>
      <c r="J283" s="27" t="n"/>
      <c r="K283" s="29" t="n"/>
      <c r="L283" s="27" t="n"/>
      <c r="M283" s="27" t="n"/>
    </row>
    <row r="284">
      <c r="A284" s="22" t="n"/>
      <c r="B284" s="23">
        <f>IF(A284="","",TEXT(A284,"ddd"))</f>
        <v/>
      </c>
      <c r="C284" s="24" t="n"/>
      <c r="D284" s="24" t="n"/>
      <c r="E284" s="23">
        <f>IF(OR(C284="",D284=""),"",ROUND((D284-C284)*1440,0))</f>
        <v/>
      </c>
      <c r="F284" s="23" t="n"/>
      <c r="G284" s="23" t="n"/>
      <c r="H284" s="23" t="n"/>
      <c r="I284" s="23" t="n"/>
      <c r="J284" s="23" t="n"/>
      <c r="K284" s="25" t="n"/>
      <c r="L284" s="23" t="n"/>
      <c r="M284" s="23" t="n"/>
    </row>
    <row r="285">
      <c r="A285" s="26" t="n"/>
      <c r="B285" s="27">
        <f>IF(A285="","",TEXT(A285,"ddd"))</f>
        <v/>
      </c>
      <c r="C285" s="28" t="n"/>
      <c r="D285" s="28" t="n"/>
      <c r="E285" s="27">
        <f>IF(OR(C285="",D285=""),"",ROUND((D285-C285)*1440,0))</f>
        <v/>
      </c>
      <c r="F285" s="27" t="n"/>
      <c r="G285" s="27" t="n"/>
      <c r="H285" s="27" t="n"/>
      <c r="I285" s="27" t="n"/>
      <c r="J285" s="27" t="n"/>
      <c r="K285" s="29" t="n"/>
      <c r="L285" s="27" t="n"/>
      <c r="M285" s="27" t="n"/>
    </row>
    <row r="286">
      <c r="A286" s="22" t="n"/>
      <c r="B286" s="23">
        <f>IF(A286="","",TEXT(A286,"ddd"))</f>
        <v/>
      </c>
      <c r="C286" s="24" t="n"/>
      <c r="D286" s="24" t="n"/>
      <c r="E286" s="23">
        <f>IF(OR(C286="",D286=""),"",ROUND((D286-C286)*1440,0))</f>
        <v/>
      </c>
      <c r="F286" s="23" t="n"/>
      <c r="G286" s="23" t="n"/>
      <c r="H286" s="23" t="n"/>
      <c r="I286" s="23" t="n"/>
      <c r="J286" s="23" t="n"/>
      <c r="K286" s="25" t="n"/>
      <c r="L286" s="23" t="n"/>
      <c r="M286" s="23" t="n"/>
    </row>
    <row r="287">
      <c r="A287" s="26" t="n"/>
      <c r="B287" s="27">
        <f>IF(A287="","",TEXT(A287,"ddd"))</f>
        <v/>
      </c>
      <c r="C287" s="28" t="n"/>
      <c r="D287" s="28" t="n"/>
      <c r="E287" s="27">
        <f>IF(OR(C287="",D287=""),"",ROUND((D287-C287)*1440,0))</f>
        <v/>
      </c>
      <c r="F287" s="27" t="n"/>
      <c r="G287" s="27" t="n"/>
      <c r="H287" s="27" t="n"/>
      <c r="I287" s="27" t="n"/>
      <c r="J287" s="27" t="n"/>
      <c r="K287" s="29" t="n"/>
      <c r="L287" s="27" t="n"/>
      <c r="M287" s="27" t="n"/>
    </row>
    <row r="288">
      <c r="A288" s="22" t="n"/>
      <c r="B288" s="23">
        <f>IF(A288="","",TEXT(A288,"ddd"))</f>
        <v/>
      </c>
      <c r="C288" s="24" t="n"/>
      <c r="D288" s="24" t="n"/>
      <c r="E288" s="23">
        <f>IF(OR(C288="",D288=""),"",ROUND((D288-C288)*1440,0))</f>
        <v/>
      </c>
      <c r="F288" s="23" t="n"/>
      <c r="G288" s="23" t="n"/>
      <c r="H288" s="23" t="n"/>
      <c r="I288" s="23" t="n"/>
      <c r="J288" s="23" t="n"/>
      <c r="K288" s="25" t="n"/>
      <c r="L288" s="23" t="n"/>
      <c r="M288" s="23" t="n"/>
    </row>
    <row r="289">
      <c r="A289" s="26" t="n"/>
      <c r="B289" s="27">
        <f>IF(A289="","",TEXT(A289,"ddd"))</f>
        <v/>
      </c>
      <c r="C289" s="28" t="n"/>
      <c r="D289" s="28" t="n"/>
      <c r="E289" s="27">
        <f>IF(OR(C289="",D289=""),"",ROUND((D289-C289)*1440,0))</f>
        <v/>
      </c>
      <c r="F289" s="27" t="n"/>
      <c r="G289" s="27" t="n"/>
      <c r="H289" s="27" t="n"/>
      <c r="I289" s="27" t="n"/>
      <c r="J289" s="27" t="n"/>
      <c r="K289" s="29" t="n"/>
      <c r="L289" s="27" t="n"/>
      <c r="M289" s="27" t="n"/>
    </row>
    <row r="290">
      <c r="A290" s="22" t="n"/>
      <c r="B290" s="23">
        <f>IF(A290="","",TEXT(A290,"ddd"))</f>
        <v/>
      </c>
      <c r="C290" s="24" t="n"/>
      <c r="D290" s="24" t="n"/>
      <c r="E290" s="23">
        <f>IF(OR(C290="",D290=""),"",ROUND((D290-C290)*1440,0))</f>
        <v/>
      </c>
      <c r="F290" s="23" t="n"/>
      <c r="G290" s="23" t="n"/>
      <c r="H290" s="23" t="n"/>
      <c r="I290" s="23" t="n"/>
      <c r="J290" s="23" t="n"/>
      <c r="K290" s="25" t="n"/>
      <c r="L290" s="23" t="n"/>
      <c r="M290" s="23" t="n"/>
    </row>
    <row r="291">
      <c r="A291" s="26" t="n"/>
      <c r="B291" s="27">
        <f>IF(A291="","",TEXT(A291,"ddd"))</f>
        <v/>
      </c>
      <c r="C291" s="28" t="n"/>
      <c r="D291" s="28" t="n"/>
      <c r="E291" s="27">
        <f>IF(OR(C291="",D291=""),"",ROUND((D291-C291)*1440,0))</f>
        <v/>
      </c>
      <c r="F291" s="27" t="n"/>
      <c r="G291" s="27" t="n"/>
      <c r="H291" s="27" t="n"/>
      <c r="I291" s="27" t="n"/>
      <c r="J291" s="27" t="n"/>
      <c r="K291" s="29" t="n"/>
      <c r="L291" s="27" t="n"/>
      <c r="M291" s="27" t="n"/>
    </row>
    <row r="292">
      <c r="A292" s="22" t="n"/>
      <c r="B292" s="23">
        <f>IF(A292="","",TEXT(A292,"ddd"))</f>
        <v/>
      </c>
      <c r="C292" s="24" t="n"/>
      <c r="D292" s="24" t="n"/>
      <c r="E292" s="23">
        <f>IF(OR(C292="",D292=""),"",ROUND((D292-C292)*1440,0))</f>
        <v/>
      </c>
      <c r="F292" s="23" t="n"/>
      <c r="G292" s="23" t="n"/>
      <c r="H292" s="23" t="n"/>
      <c r="I292" s="23" t="n"/>
      <c r="J292" s="23" t="n"/>
      <c r="K292" s="25" t="n"/>
      <c r="L292" s="23" t="n"/>
      <c r="M292" s="23" t="n"/>
    </row>
    <row r="293">
      <c r="A293" s="26" t="n"/>
      <c r="B293" s="27">
        <f>IF(A293="","",TEXT(A293,"ddd"))</f>
        <v/>
      </c>
      <c r="C293" s="28" t="n"/>
      <c r="D293" s="28" t="n"/>
      <c r="E293" s="27">
        <f>IF(OR(C293="",D293=""),"",ROUND((D293-C293)*1440,0))</f>
        <v/>
      </c>
      <c r="F293" s="27" t="n"/>
      <c r="G293" s="27" t="n"/>
      <c r="H293" s="27" t="n"/>
      <c r="I293" s="27" t="n"/>
      <c r="J293" s="27" t="n"/>
      <c r="K293" s="29" t="n"/>
      <c r="L293" s="27" t="n"/>
      <c r="M293" s="27" t="n"/>
    </row>
    <row r="294">
      <c r="A294" s="22" t="n"/>
      <c r="B294" s="23">
        <f>IF(A294="","",TEXT(A294,"ddd"))</f>
        <v/>
      </c>
      <c r="C294" s="24" t="n"/>
      <c r="D294" s="24" t="n"/>
      <c r="E294" s="23">
        <f>IF(OR(C294="",D294=""),"",ROUND((D294-C294)*1440,0))</f>
        <v/>
      </c>
      <c r="F294" s="23" t="n"/>
      <c r="G294" s="23" t="n"/>
      <c r="H294" s="23" t="n"/>
      <c r="I294" s="23" t="n"/>
      <c r="J294" s="23" t="n"/>
      <c r="K294" s="25" t="n"/>
      <c r="L294" s="23" t="n"/>
      <c r="M294" s="23" t="n"/>
    </row>
    <row r="295">
      <c r="A295" s="26" t="n"/>
      <c r="B295" s="27">
        <f>IF(A295="","",TEXT(A295,"ddd"))</f>
        <v/>
      </c>
      <c r="C295" s="28" t="n"/>
      <c r="D295" s="28" t="n"/>
      <c r="E295" s="27">
        <f>IF(OR(C295="",D295=""),"",ROUND((D295-C295)*1440,0))</f>
        <v/>
      </c>
      <c r="F295" s="27" t="n"/>
      <c r="G295" s="27" t="n"/>
      <c r="H295" s="27" t="n"/>
      <c r="I295" s="27" t="n"/>
      <c r="J295" s="27" t="n"/>
      <c r="K295" s="29" t="n"/>
      <c r="L295" s="27" t="n"/>
      <c r="M295" s="27" t="n"/>
    </row>
    <row r="296">
      <c r="A296" s="22" t="n"/>
      <c r="B296" s="23">
        <f>IF(A296="","",TEXT(A296,"ddd"))</f>
        <v/>
      </c>
      <c r="C296" s="24" t="n"/>
      <c r="D296" s="24" t="n"/>
      <c r="E296" s="23">
        <f>IF(OR(C296="",D296=""),"",ROUND((D296-C296)*1440,0))</f>
        <v/>
      </c>
      <c r="F296" s="23" t="n"/>
      <c r="G296" s="23" t="n"/>
      <c r="H296" s="23" t="n"/>
      <c r="I296" s="23" t="n"/>
      <c r="J296" s="23" t="n"/>
      <c r="K296" s="25" t="n"/>
      <c r="L296" s="23" t="n"/>
      <c r="M296" s="23" t="n"/>
    </row>
    <row r="297">
      <c r="A297" s="26" t="n"/>
      <c r="B297" s="27">
        <f>IF(A297="","",TEXT(A297,"ddd"))</f>
        <v/>
      </c>
      <c r="C297" s="28" t="n"/>
      <c r="D297" s="28" t="n"/>
      <c r="E297" s="27">
        <f>IF(OR(C297="",D297=""),"",ROUND((D297-C297)*1440,0))</f>
        <v/>
      </c>
      <c r="F297" s="27" t="n"/>
      <c r="G297" s="27" t="n"/>
      <c r="H297" s="27" t="n"/>
      <c r="I297" s="27" t="n"/>
      <c r="J297" s="27" t="n"/>
      <c r="K297" s="29" t="n"/>
      <c r="L297" s="27" t="n"/>
      <c r="M297" s="27" t="n"/>
    </row>
    <row r="298">
      <c r="A298" s="22" t="n"/>
      <c r="B298" s="23">
        <f>IF(A298="","",TEXT(A298,"ddd"))</f>
        <v/>
      </c>
      <c r="C298" s="24" t="n"/>
      <c r="D298" s="24" t="n"/>
      <c r="E298" s="23">
        <f>IF(OR(C298="",D298=""),"",ROUND((D298-C298)*1440,0))</f>
        <v/>
      </c>
      <c r="F298" s="23" t="n"/>
      <c r="G298" s="23" t="n"/>
      <c r="H298" s="23" t="n"/>
      <c r="I298" s="23" t="n"/>
      <c r="J298" s="23" t="n"/>
      <c r="K298" s="25" t="n"/>
      <c r="L298" s="23" t="n"/>
      <c r="M298" s="23" t="n"/>
    </row>
    <row r="299">
      <c r="A299" s="26" t="n"/>
      <c r="B299" s="27">
        <f>IF(A299="","",TEXT(A299,"ddd"))</f>
        <v/>
      </c>
      <c r="C299" s="28" t="n"/>
      <c r="D299" s="28" t="n"/>
      <c r="E299" s="27">
        <f>IF(OR(C299="",D299=""),"",ROUND((D299-C299)*1440,0))</f>
        <v/>
      </c>
      <c r="F299" s="27" t="n"/>
      <c r="G299" s="27" t="n"/>
      <c r="H299" s="27" t="n"/>
      <c r="I299" s="27" t="n"/>
      <c r="J299" s="27" t="n"/>
      <c r="K299" s="29" t="n"/>
      <c r="L299" s="27" t="n"/>
      <c r="M299" s="27" t="n"/>
    </row>
    <row r="300">
      <c r="A300" s="22" t="n"/>
      <c r="B300" s="23">
        <f>IF(A300="","",TEXT(A300,"ddd"))</f>
        <v/>
      </c>
      <c r="C300" s="24" t="n"/>
      <c r="D300" s="24" t="n"/>
      <c r="E300" s="23">
        <f>IF(OR(C300="",D300=""),"",ROUND((D300-C300)*1440,0))</f>
        <v/>
      </c>
      <c r="F300" s="23" t="n"/>
      <c r="G300" s="23" t="n"/>
      <c r="H300" s="23" t="n"/>
      <c r="I300" s="23" t="n"/>
      <c r="J300" s="23" t="n"/>
      <c r="K300" s="25" t="n"/>
      <c r="L300" s="23" t="n"/>
      <c r="M300" s="23" t="n"/>
    </row>
    <row r="301">
      <c r="A301" s="26" t="n"/>
      <c r="B301" s="27">
        <f>IF(A301="","",TEXT(A301,"ddd"))</f>
        <v/>
      </c>
      <c r="C301" s="28" t="n"/>
      <c r="D301" s="28" t="n"/>
      <c r="E301" s="27">
        <f>IF(OR(C301="",D301=""),"",ROUND((D301-C301)*1440,0))</f>
        <v/>
      </c>
      <c r="F301" s="27" t="n"/>
      <c r="G301" s="27" t="n"/>
      <c r="H301" s="27" t="n"/>
      <c r="I301" s="27" t="n"/>
      <c r="J301" s="27" t="n"/>
      <c r="K301" s="29" t="n"/>
      <c r="L301" s="27" t="n"/>
      <c r="M301" s="27" t="n"/>
    </row>
  </sheetData>
  <conditionalFormatting sqref="L2:L301">
    <cfRule type="expression" priority="1" dxfId="7">
      <formula>L2="No"</formula>
    </cfRule>
    <cfRule type="expression" priority="2" dxfId="8">
      <formula>L2="Yes"</formula>
    </cfRule>
  </conditionalFormatting>
  <dataValidations count="3">
    <dataValidation sqref="I2:I301" showDropDown="0" showInputMessage="0" showErrorMessage="0" allowBlank="1" type="list">
      <formula1>=Lists!$A$2:$A$20</formula1>
    </dataValidation>
    <dataValidation sqref="J2:J301" showDropDown="0" showInputMessage="0" showErrorMessage="0" allowBlank="1" type="list">
      <formula1>=Lists!$B$2:$B$20</formula1>
    </dataValidation>
    <dataValidation sqref="L2:L301" showDropDown="0" showInputMessage="0" showErrorMessage="0" allowBlank="1" type="list">
      <formula1>=Lists!$C$2:$C$5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8" t="inlineStr">
        <is>
          <t>Lesson Types</t>
        </is>
      </c>
      <c r="B1" s="8" t="inlineStr">
        <is>
          <t>Locations</t>
        </is>
      </c>
      <c r="C1" s="8" t="inlineStr">
        <is>
          <t>Paid?</t>
        </is>
      </c>
      <c r="E1" s="30" t="inlineStr">
        <is>
          <t>Edit these lists to change the dropdowns on the Lesson Log.</t>
        </is>
      </c>
    </row>
    <row r="2">
      <c r="A2" t="inlineStr">
        <is>
          <t>Hitting</t>
        </is>
      </c>
      <c r="B2" t="inlineStr">
        <is>
          <t>Main Facility - Cage 1</t>
        </is>
      </c>
      <c r="C2" t="inlineStr">
        <is>
          <t>Yes</t>
        </is>
      </c>
    </row>
    <row r="3">
      <c r="A3" t="inlineStr">
        <is>
          <t>Pitching</t>
        </is>
      </c>
      <c r="B3" t="inlineStr">
        <is>
          <t>Main Facility - Cage 2</t>
        </is>
      </c>
      <c r="C3" t="inlineStr">
        <is>
          <t>No</t>
        </is>
      </c>
    </row>
    <row r="4">
      <c r="A4" t="inlineStr">
        <is>
          <t>Catching</t>
        </is>
      </c>
      <c r="B4" t="inlineStr">
        <is>
          <t>Bullpen</t>
        </is>
      </c>
      <c r="C4" t="inlineStr">
        <is>
          <t>Comp</t>
        </is>
      </c>
    </row>
    <row r="5">
      <c r="A5" t="inlineStr">
        <is>
          <t>Fielding</t>
        </is>
      </c>
      <c r="B5" t="inlineStr">
        <is>
          <t>Field</t>
        </is>
      </c>
    </row>
    <row r="6">
      <c r="A6" t="inlineStr">
        <is>
          <t>Speed/Agility</t>
        </is>
      </c>
      <c r="B6" t="inlineStr">
        <is>
          <t>Player's Location</t>
        </is>
      </c>
    </row>
    <row r="7">
      <c r="A7" t="inlineStr">
        <is>
          <t>Team Clinic</t>
        </is>
      </c>
      <c r="B7" t="inlineStr">
        <is>
          <t>Virtual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2" customWidth="1" min="5" max="5"/>
    <col width="3" customWidth="1" min="6" max="6"/>
    <col width="18" customWidth="1" min="7" max="7"/>
    <col width="11" customWidth="1" min="8" max="8"/>
  </cols>
  <sheetData>
    <row r="1">
      <c r="A1" s="31" t="inlineStr">
        <is>
          <t>WEEKLY SUMMARY (from Lesson Log)</t>
        </is>
      </c>
    </row>
    <row r="2">
      <c r="A2" s="2" t="inlineStr">
        <is>
          <t>Week of:</t>
        </is>
      </c>
      <c r="B2" s="32">
        <f>'Weekly Schedule'!B2</f>
        <v/>
      </c>
    </row>
    <row r="4">
      <c r="A4" s="9" t="inlineStr">
        <is>
          <t>Day</t>
        </is>
      </c>
      <c r="B4" s="9" t="inlineStr">
        <is>
          <t>Date</t>
        </is>
      </c>
      <c r="C4" s="9" t="inlineStr">
        <is>
          <t>Lessons</t>
        </is>
      </c>
      <c r="D4" s="9" t="inlineStr">
        <is>
          <t>Revenue</t>
        </is>
      </c>
      <c r="E4" s="9" t="inlineStr">
        <is>
          <t>Unpaid</t>
        </is>
      </c>
      <c r="G4" s="9" t="inlineStr">
        <is>
          <t>By Lesson Type</t>
        </is>
      </c>
      <c r="H4" s="9" t="inlineStr">
        <is>
          <t>This Week</t>
        </is>
      </c>
    </row>
    <row r="5">
      <c r="A5" s="13" t="inlineStr">
        <is>
          <t>Monday</t>
        </is>
      </c>
      <c r="B5" s="33">
        <f>$B$2+0</f>
        <v/>
      </c>
      <c r="C5" s="13">
        <f>COUNTIF('Lesson Log'!$A:$A,B5)</f>
        <v/>
      </c>
      <c r="D5" s="34">
        <f>SUMIF('Lesson Log'!$A:$A,B5,'Lesson Log'!$K:$K)</f>
        <v/>
      </c>
      <c r="E5" s="34">
        <f>SUMIFS('Lesson Log'!$K:$K,'Lesson Log'!$A:$A,B5,'Lesson Log'!$L:$L,"No")</f>
        <v/>
      </c>
      <c r="G5" s="35" t="inlineStr">
        <is>
          <t>Hitting</t>
        </is>
      </c>
      <c r="H5" s="13">
        <f>COUNTIFS('Lesson Log'!$I:$I,G5,'Lesson Log'!$A:$A,"&gt;="&amp;$B$2,'Lesson Log'!$A:$A,"&lt;"&amp;($B$2+7))</f>
        <v/>
      </c>
    </row>
    <row r="6">
      <c r="A6" s="13" t="inlineStr">
        <is>
          <t>Tuesday</t>
        </is>
      </c>
      <c r="B6" s="33">
        <f>$B$2+1</f>
        <v/>
      </c>
      <c r="C6" s="13">
        <f>COUNTIF('Lesson Log'!$A:$A,B6)</f>
        <v/>
      </c>
      <c r="D6" s="34">
        <f>SUMIF('Lesson Log'!$A:$A,B6,'Lesson Log'!$K:$K)</f>
        <v/>
      </c>
      <c r="E6" s="34">
        <f>SUMIFS('Lesson Log'!$K:$K,'Lesson Log'!$A:$A,B6,'Lesson Log'!$L:$L,"No")</f>
        <v/>
      </c>
      <c r="G6" s="36" t="inlineStr">
        <is>
          <t>Pitching</t>
        </is>
      </c>
      <c r="H6" s="13">
        <f>COUNTIFS('Lesson Log'!$I:$I,G6,'Lesson Log'!$A:$A,"&gt;="&amp;$B$2,'Lesson Log'!$A:$A,"&lt;"&amp;($B$2+7))</f>
        <v/>
      </c>
    </row>
    <row r="7">
      <c r="A7" s="13" t="inlineStr">
        <is>
          <t>Wednesday</t>
        </is>
      </c>
      <c r="B7" s="33">
        <f>$B$2+2</f>
        <v/>
      </c>
      <c r="C7" s="13">
        <f>COUNTIF('Lesson Log'!$A:$A,B7)</f>
        <v/>
      </c>
      <c r="D7" s="34">
        <f>SUMIF('Lesson Log'!$A:$A,B7,'Lesson Log'!$K:$K)</f>
        <v/>
      </c>
      <c r="E7" s="34">
        <f>SUMIFS('Lesson Log'!$K:$K,'Lesson Log'!$A:$A,B7,'Lesson Log'!$L:$L,"No")</f>
        <v/>
      </c>
      <c r="G7" s="37" t="inlineStr">
        <is>
          <t>Catching</t>
        </is>
      </c>
      <c r="H7" s="13">
        <f>COUNTIFS('Lesson Log'!$I:$I,G7,'Lesson Log'!$A:$A,"&gt;="&amp;$B$2,'Lesson Log'!$A:$A,"&lt;"&amp;($B$2+7))</f>
        <v/>
      </c>
    </row>
    <row r="8">
      <c r="A8" s="13" t="inlineStr">
        <is>
          <t>Thursday</t>
        </is>
      </c>
      <c r="B8" s="33">
        <f>$B$2+3</f>
        <v/>
      </c>
      <c r="C8" s="13">
        <f>COUNTIF('Lesson Log'!$A:$A,B8)</f>
        <v/>
      </c>
      <c r="D8" s="34">
        <f>SUMIF('Lesson Log'!$A:$A,B8,'Lesson Log'!$K:$K)</f>
        <v/>
      </c>
      <c r="E8" s="34">
        <f>SUMIFS('Lesson Log'!$K:$K,'Lesson Log'!$A:$A,B8,'Lesson Log'!$L:$L,"No")</f>
        <v/>
      </c>
      <c r="G8" s="38" t="inlineStr">
        <is>
          <t>Fielding</t>
        </is>
      </c>
      <c r="H8" s="13">
        <f>COUNTIFS('Lesson Log'!$I:$I,G8,'Lesson Log'!$A:$A,"&gt;="&amp;$B$2,'Lesson Log'!$A:$A,"&lt;"&amp;($B$2+7))</f>
        <v/>
      </c>
    </row>
    <row r="9">
      <c r="A9" s="13" t="inlineStr">
        <is>
          <t>Friday</t>
        </is>
      </c>
      <c r="B9" s="33">
        <f>$B$2+4</f>
        <v/>
      </c>
      <c r="C9" s="13">
        <f>COUNTIF('Lesson Log'!$A:$A,B9)</f>
        <v/>
      </c>
      <c r="D9" s="34">
        <f>SUMIF('Lesson Log'!$A:$A,B9,'Lesson Log'!$K:$K)</f>
        <v/>
      </c>
      <c r="E9" s="34">
        <f>SUMIFS('Lesson Log'!$K:$K,'Lesson Log'!$A:$A,B9,'Lesson Log'!$L:$L,"No")</f>
        <v/>
      </c>
      <c r="G9" s="39" t="inlineStr">
        <is>
          <t>Speed/Agility</t>
        </is>
      </c>
      <c r="H9" s="13">
        <f>COUNTIFS('Lesson Log'!$I:$I,G9,'Lesson Log'!$A:$A,"&gt;="&amp;$B$2,'Lesson Log'!$A:$A,"&lt;"&amp;($B$2+7))</f>
        <v/>
      </c>
    </row>
    <row r="10">
      <c r="A10" s="13" t="inlineStr">
        <is>
          <t>Saturday</t>
        </is>
      </c>
      <c r="B10" s="33">
        <f>$B$2+5</f>
        <v/>
      </c>
      <c r="C10" s="13">
        <f>COUNTIF('Lesson Log'!$A:$A,B10)</f>
        <v/>
      </c>
      <c r="D10" s="34">
        <f>SUMIF('Lesson Log'!$A:$A,B10,'Lesson Log'!$K:$K)</f>
        <v/>
      </c>
      <c r="E10" s="34">
        <f>SUMIFS('Lesson Log'!$K:$K,'Lesson Log'!$A:$A,B10,'Lesson Log'!$L:$L,"No")</f>
        <v/>
      </c>
      <c r="G10" s="40" t="inlineStr">
        <is>
          <t>Team Clinic</t>
        </is>
      </c>
      <c r="H10" s="13">
        <f>COUNTIFS('Lesson Log'!$I:$I,G10,'Lesson Log'!$A:$A,"&gt;="&amp;$B$2,'Lesson Log'!$A:$A,"&lt;"&amp;($B$2+7))</f>
        <v/>
      </c>
    </row>
    <row r="11">
      <c r="A11" s="13" t="inlineStr">
        <is>
          <t>Sunday</t>
        </is>
      </c>
      <c r="B11" s="33">
        <f>$B$2+6</f>
        <v/>
      </c>
      <c r="C11" s="13">
        <f>COUNTIF('Lesson Log'!$A:$A,B11)</f>
        <v/>
      </c>
      <c r="D11" s="34">
        <f>SUMIF('Lesson Log'!$A:$A,B11,'Lesson Log'!$K:$K)</f>
        <v/>
      </c>
      <c r="E11" s="34">
        <f>SUMIFS('Lesson Log'!$K:$K,'Lesson Log'!$A:$A,B11,'Lesson Log'!$L:$L,"No")</f>
        <v/>
      </c>
    </row>
    <row r="12">
      <c r="A12" s="7" t="inlineStr">
        <is>
          <t>TOTAL</t>
        </is>
      </c>
      <c r="B12" s="7" t="n"/>
      <c r="C12" s="7">
        <f>SUM(C5:C11)</f>
        <v/>
      </c>
      <c r="D12" s="41">
        <f>SUM(D5:D11)</f>
        <v/>
      </c>
      <c r="E12" s="41">
        <f>SUM(E5:E11)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2026-10-25T18:43:30Z</dcterms:created>
  <dcterms:modified xmlns:dcterms="http://purl.org/dc/terms/" xmlns:xsi="http://www.w3.org/2001/XMLSchema-instance" xsi:type="dcterms:W3CDTF">2026-10-25T18:43:30Z</dcterms:modified>
</cp:coreProperties>
</file>
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" sheetId="1" state="visible" r:id="rId1"/>
    <sheet name="Warm Up" sheetId="2" state="visible" r:id="rId2"/>
    <sheet name="Throwing" sheetId="3" state="visible" r:id="rId3"/>
    <sheet name="Lif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"/>
    <numFmt numFmtId="167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</font>
    <font>
      <name val="Arial"/>
      <color rgb="000000FF"/>
    </font>
    <font>
      <name val="Arial"/>
      <i val="1"/>
      <color rgb="00595959"/>
      <sz val="9"/>
    </font>
    <font>
      <name val="Arial"/>
      <b val="1"/>
      <color rgb="000000FF"/>
    </font>
    <font>
      <name val="Arial"/>
    </font>
    <font>
      <name val="Arial"/>
      <b val="1"/>
      <color rgb="001F4E78"/>
      <sz val="14"/>
    </font>
    <font>
      <name val="Arial"/>
      <b val="1"/>
      <color rgb="00FFFFFF"/>
      <sz val="10"/>
    </font>
    <font>
      <name val="Arial"/>
      <b val="1"/>
      <color rgb="001F4E78"/>
    </font>
    <font>
      <name val="Arial"/>
      <color rgb="000000FF"/>
      <sz val="10"/>
    </font>
    <font>
      <name val="Arial"/>
      <color rgb="00000000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548235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5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3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1" applyAlignment="1" pivotButton="0" quotePrefix="0" xfId="0">
      <alignment vertical="top" wrapText="1"/>
    </xf>
    <xf numFmtId="0" fontId="9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top"/>
    </xf>
    <xf numFmtId="166" fontId="11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11" fillId="3" borderId="1" applyAlignment="1" pivotButton="0" quotePrefix="0" xfId="0">
      <alignment horizontal="center" vertical="top"/>
    </xf>
    <xf numFmtId="0" fontId="11" fillId="3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center"/>
    </xf>
    <xf numFmtId="167" fontId="12" fillId="0" borderId="1" applyAlignment="1" pivotButton="0" quotePrefix="0" xfId="0">
      <alignment horizontal="center"/>
    </xf>
    <xf numFmtId="0" fontId="11" fillId="0" borderId="2" applyAlignment="1" pivotButton="0" quotePrefix="0" xfId="0">
      <alignment horizontal="center" vertical="top"/>
    </xf>
    <xf numFmtId="166" fontId="11" fillId="0" borderId="2" applyAlignment="1" pivotButton="0" quotePrefix="0" xfId="0">
      <alignment horizontal="center" vertical="top"/>
    </xf>
    <xf numFmtId="0" fontId="10" fillId="0" borderId="2" applyAlignment="1" pivotButton="0" quotePrefix="0" xfId="0">
      <alignment horizontal="center" vertical="top"/>
    </xf>
    <xf numFmtId="0" fontId="10" fillId="0" borderId="2" applyAlignment="1" pivotButton="0" quotePrefix="0" xfId="0">
      <alignment vertical="top" wrapText="1"/>
    </xf>
    <xf numFmtId="0" fontId="11" fillId="3" borderId="2" applyAlignment="1" pivotButton="0" quotePrefix="0" xfId="0">
      <alignment horizontal="center" vertical="top"/>
    </xf>
    <xf numFmtId="0" fontId="11" fillId="3" borderId="2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E2EFDA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DEDED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zoomScale="9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Remote Pitching Program</t>
        </is>
      </c>
    </row>
    <row r="4">
      <c r="A4" s="2" t="inlineStr">
        <is>
          <t>Athlete name</t>
        </is>
      </c>
      <c r="B4" s="3" t="inlineStr">
        <is>
          <t>Athlete Name</t>
        </is>
      </c>
    </row>
    <row r="5">
      <c r="A5" s="2" t="inlineStr">
        <is>
          <t>Coach</t>
        </is>
      </c>
      <c r="B5" s="3" t="inlineStr">
        <is>
          <t>Coach Name</t>
        </is>
      </c>
    </row>
    <row r="6">
      <c r="A6" s="2" t="inlineStr">
        <is>
          <t>Start date (Monday)</t>
        </is>
      </c>
      <c r="B6" s="4" t="n">
        <v>46321</v>
      </c>
      <c r="C6" s="5" t="inlineStr">
        <is>
          <t>&lt;- every date on the Throwing tab is built from this</t>
        </is>
      </c>
    </row>
    <row r="7">
      <c r="A7" s="2" t="inlineStr">
        <is>
          <t>Program phase</t>
        </is>
      </c>
      <c r="B7" s="3" t="inlineStr">
        <is>
          <t>Off-Season Build</t>
        </is>
      </c>
    </row>
    <row r="8">
      <c r="A8" s="2" t="inlineStr">
        <is>
          <t>Athlete email / phone</t>
        </is>
      </c>
      <c r="B8" s="3" t="inlineStr"/>
    </row>
    <row r="9">
      <c r="A9" s="2" t="inlineStr">
        <is>
          <t>Check-in day</t>
        </is>
      </c>
      <c r="B9" s="3" t="inlineStr">
        <is>
          <t>Sunday</t>
        </is>
      </c>
    </row>
    <row r="12">
      <c r="A12" s="2" t="inlineStr">
        <is>
          <t>Color key</t>
        </is>
      </c>
    </row>
    <row r="13">
      <c r="A13" s="6" t="inlineStr">
        <is>
          <t>Blue text</t>
        </is>
      </c>
      <c r="B13" s="7" t="inlineStr">
        <is>
          <t>Coach fills in (the plan)</t>
        </is>
      </c>
    </row>
    <row r="14">
      <c r="A14" s="8" t="inlineStr">
        <is>
          <t>Green cells</t>
        </is>
      </c>
      <c r="B14" s="7" t="inlineStr">
        <is>
          <t>Athlete fills in (what they actually did)</t>
        </is>
      </c>
    </row>
    <row r="15">
      <c r="A15" s="2" t="inlineStr">
        <is>
          <t>Black text</t>
        </is>
      </c>
      <c r="B15" s="7" t="inlineStr">
        <is>
          <t>Calculates automatically - don't type here</t>
        </is>
      </c>
    </row>
    <row r="17">
      <c r="A17" s="2" t="inlineStr">
        <is>
          <t>How it works</t>
        </is>
      </c>
    </row>
    <row r="18">
      <c r="A18" s="7" t="inlineStr">
        <is>
          <t>1. Coach: fill in the yellow cells above, then write the plan on each tab in blue.</t>
        </is>
      </c>
    </row>
    <row r="19">
      <c r="A19" s="7" t="inlineStr">
        <is>
          <t>2. Warm Up tab: the routine the athlete does before every throwing day, with video links.</t>
        </is>
      </c>
    </row>
    <row r="20">
      <c r="A20" s="7" t="inlineStr">
        <is>
          <t>3. Throwing tab: one row per day for 8 weeks. Pick a day type, write the throwing plan, set throw counts.</t>
        </is>
      </c>
    </row>
    <row r="21">
      <c r="A21" s="7" t="inlineStr">
        <is>
          <t>4. Lifting tab: 3 lift days per week. Athlete logs weight x reps in the green week columns.</t>
        </is>
      </c>
    </row>
    <row r="22">
      <c r="A22" s="7" t="inlineStr">
        <is>
          <t>5. Share the file with the athlete (Google Sheets / OneDrive). They fill in the green cells after each session.</t>
        </is>
      </c>
    </row>
    <row r="23">
      <c r="A23" s="7" t="inlineStr">
        <is>
          <t>6. On check-in day, review the Weekly Summary on the Throwing tab (throws, arm feel, velo, days completed).</t>
        </is>
      </c>
    </row>
    <row r="24">
      <c r="A24" s="7" t="inlineStr">
        <is>
          <t>7. Example entries in week 1 and on the Warm Up / Lifting tabs are samples - edit or replace them.</t>
        </is>
      </c>
    </row>
  </sheetData>
  <dataValidations count="1">
    <dataValidation sqref="B7" showDropDown="0" showInputMessage="0" showErrorMessage="0" allowBlank="1" type="list">
      <formula1>"Off-Season Build,Pre-Season Ramp-Up,In-Season Maintenance,Return to Throw"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14" customWidth="1" min="4" max="4"/>
    <col width="46" customWidth="1" min="5" max="5"/>
    <col width="32" customWidth="1" min="6" max="6"/>
  </cols>
  <sheetData>
    <row r="1">
      <c r="A1" s="9" t="inlineStr">
        <is>
          <t>Warm Up Routine</t>
        </is>
      </c>
    </row>
    <row r="2">
      <c r="A2" s="2">
        <f>"Athlete: "&amp;Program!$B$4&amp;"     Coach: "&amp;Program!$B$5</f>
        <v/>
      </c>
    </row>
    <row r="3">
      <c r="A3" s="5" t="inlineStr">
        <is>
          <t>Do this full routine before every throwing day. Coach: add a video link for each exercise so the athlete can check form.</t>
        </is>
      </c>
    </row>
    <row r="5" ht="30" customHeight="1">
      <c r="A5" s="10" t="inlineStr">
        <is>
          <t>#</t>
        </is>
      </c>
      <c r="B5" s="10" t="inlineStr">
        <is>
          <t>Exercise</t>
        </is>
      </c>
      <c r="C5" s="10" t="inlineStr">
        <is>
          <t>Sets</t>
        </is>
      </c>
      <c r="D5" s="10" t="inlineStr">
        <is>
          <t>Reps / Time</t>
        </is>
      </c>
      <c r="E5" s="10" t="inlineStr">
        <is>
          <t>Coaching Cues</t>
        </is>
      </c>
      <c r="F5" s="10" t="inlineStr">
        <is>
          <t>Video Link</t>
        </is>
      </c>
    </row>
    <row r="6">
      <c r="A6" s="11" t="inlineStr">
        <is>
          <t>DYNAMIC WARM UP</t>
        </is>
      </c>
    </row>
    <row r="7">
      <c r="A7" s="12" t="n">
        <v>1</v>
      </c>
      <c r="B7" s="12" t="inlineStr">
        <is>
          <t>Jog / Skip</t>
        </is>
      </c>
      <c r="C7" s="12" t="n">
        <v>1</v>
      </c>
      <c r="D7" s="12" t="inlineStr">
        <is>
          <t>2 min</t>
        </is>
      </c>
      <c r="E7" s="12" t="inlineStr">
        <is>
          <t>Easy pace, get the blood moving</t>
        </is>
      </c>
      <c r="F7" s="12" t="n"/>
    </row>
    <row r="8">
      <c r="A8" s="12" t="n">
        <v>2</v>
      </c>
      <c r="B8" s="12" t="inlineStr">
        <is>
          <t>World's Greatest Stretch</t>
        </is>
      </c>
      <c r="C8" s="12" t="n">
        <v>1</v>
      </c>
      <c r="D8" s="12" t="inlineStr">
        <is>
          <t>5 / side</t>
        </is>
      </c>
      <c r="E8" s="12" t="inlineStr">
        <is>
          <t>Elbow to instep, rotate open to the sky</t>
        </is>
      </c>
      <c r="F8" s="12" t="n"/>
    </row>
    <row r="9">
      <c r="A9" s="12" t="n">
        <v>3</v>
      </c>
      <c r="B9" s="12" t="inlineStr">
        <is>
          <t>Lateral Lunge</t>
        </is>
      </c>
      <c r="C9" s="12" t="n">
        <v>1</v>
      </c>
      <c r="D9" s="12" t="inlineStr">
        <is>
          <t>8 / side</t>
        </is>
      </c>
      <c r="E9" s="12" t="inlineStr">
        <is>
          <t>Sit back into the hip, chest up</t>
        </is>
      </c>
      <c r="F9" s="12" t="n"/>
    </row>
    <row r="10">
      <c r="A10" s="12" t="n">
        <v>4</v>
      </c>
      <c r="B10" s="12" t="inlineStr">
        <is>
          <t>Walking Knee Hug + Quad Pull</t>
        </is>
      </c>
      <c r="C10" s="12" t="n">
        <v>1</v>
      </c>
      <c r="D10" s="12" t="inlineStr">
        <is>
          <t>8 / side</t>
        </is>
      </c>
      <c r="E10" s="12" t="inlineStr">
        <is>
          <t>Stand tall, squeeze glute</t>
        </is>
      </c>
      <c r="F10" s="12" t="n"/>
    </row>
    <row r="11">
      <c r="A11" s="12" t="n">
        <v>5</v>
      </c>
      <c r="B11" s="12" t="inlineStr">
        <is>
          <t>Carioca</t>
        </is>
      </c>
      <c r="C11" s="12" t="n">
        <v>2</v>
      </c>
      <c r="D11" s="12" t="inlineStr">
        <is>
          <t>20 yds</t>
        </is>
      </c>
      <c r="E11" s="12" t="inlineStr">
        <is>
          <t>Quick hips, stay on the balls of the feet</t>
        </is>
      </c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1" t="inlineStr">
        <is>
          <t>ARM CARE / BANDS</t>
        </is>
      </c>
    </row>
    <row r="15">
      <c r="A15" s="12" t="n">
        <v>6</v>
      </c>
      <c r="B15" s="12" t="inlineStr">
        <is>
          <t>J-Band Forward Fly</t>
        </is>
      </c>
      <c r="C15" s="12" t="n">
        <v>1</v>
      </c>
      <c r="D15" s="12" t="inlineStr">
        <is>
          <t>10</t>
        </is>
      </c>
      <c r="E15" s="12" t="inlineStr">
        <is>
          <t>Thumbs up, slow and controlled</t>
        </is>
      </c>
      <c r="F15" s="12" t="n"/>
    </row>
    <row r="16">
      <c r="A16" s="12" t="n">
        <v>7</v>
      </c>
      <c r="B16" s="12" t="inlineStr">
        <is>
          <t>J-Band Reverse Fly</t>
        </is>
      </c>
      <c r="C16" s="12" t="n">
        <v>1</v>
      </c>
      <c r="D16" s="12" t="inlineStr">
        <is>
          <t>10</t>
        </is>
      </c>
      <c r="E16" s="12" t="inlineStr">
        <is>
          <t>Squeeze shoulder blades</t>
        </is>
      </c>
      <c r="F16" s="12" t="n"/>
    </row>
    <row r="17">
      <c r="A17" s="12" t="n">
        <v>8</v>
      </c>
      <c r="B17" s="12" t="inlineStr">
        <is>
          <t>J-Band Internal / External Rotation</t>
        </is>
      </c>
      <c r="C17" s="12" t="n">
        <v>1</v>
      </c>
      <c r="D17" s="12" t="inlineStr">
        <is>
          <t>10 / each</t>
        </is>
      </c>
      <c r="E17" s="12" t="inlineStr">
        <is>
          <t>Elbow at 90, pinned to the side</t>
        </is>
      </c>
      <c r="F17" s="12" t="n"/>
    </row>
    <row r="18">
      <c r="A18" s="12" t="n">
        <v>9</v>
      </c>
      <c r="B18" s="12" t="inlineStr">
        <is>
          <t>J-Band Throwing Motion</t>
        </is>
      </c>
      <c r="C18" s="12" t="n">
        <v>1</v>
      </c>
      <c r="D18" s="12" t="inlineStr">
        <is>
          <t>10</t>
        </is>
      </c>
      <c r="E18" s="12" t="inlineStr">
        <is>
          <t>Full arm path, finish over the front knee</t>
        </is>
      </c>
      <c r="F18" s="12" t="n"/>
    </row>
    <row r="19">
      <c r="A19" s="12" t="n">
        <v>10</v>
      </c>
      <c r="B19" s="12" t="inlineStr">
        <is>
          <t>Scap Push-Ups</t>
        </is>
      </c>
      <c r="C19" s="12" t="n">
        <v>1</v>
      </c>
      <c r="D19" s="12" t="inlineStr">
        <is>
          <t>10</t>
        </is>
      </c>
      <c r="E19" s="12" t="inlineStr">
        <is>
          <t>Arms locked, move only the shoulder blades</t>
        </is>
      </c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1" t="inlineStr">
        <is>
          <t>PLYO BALLS / WALL</t>
        </is>
      </c>
    </row>
    <row r="23">
      <c r="A23" s="12" t="n">
        <v>11</v>
      </c>
      <c r="B23" s="12" t="inlineStr">
        <is>
          <t>Reverse Throws (2 lb)</t>
        </is>
      </c>
      <c r="C23" s="12" t="n">
        <v>1</v>
      </c>
      <c r="D23" s="12" t="inlineStr">
        <is>
          <t>10</t>
        </is>
      </c>
      <c r="E23" s="12" t="inlineStr">
        <is>
          <t>Throw backward over the shoulder, decelerate</t>
        </is>
      </c>
      <c r="F23" s="12" t="n"/>
    </row>
    <row r="24">
      <c r="A24" s="12" t="n">
        <v>12</v>
      </c>
      <c r="B24" s="12" t="inlineStr">
        <is>
          <t>Pivot Pickoffs (1 lb)</t>
        </is>
      </c>
      <c r="C24" s="12" t="n">
        <v>1</v>
      </c>
      <c r="D24" s="12" t="inlineStr">
        <is>
          <t>10</t>
        </is>
      </c>
      <c r="E24" s="12" t="inlineStr">
        <is>
          <t>Load the back hip, rotate through</t>
        </is>
      </c>
      <c r="F24" s="12" t="n"/>
    </row>
    <row r="25">
      <c r="A25" s="12" t="n">
        <v>13</v>
      </c>
      <c r="B25" s="12" t="inlineStr">
        <is>
          <t>Roll-In Throws (1 lb)</t>
        </is>
      </c>
      <c r="C25" s="12" t="n">
        <v>1</v>
      </c>
      <c r="D25" s="12" t="inlineStr">
        <is>
          <t>10</t>
        </is>
      </c>
      <c r="E25" s="12" t="inlineStr">
        <is>
          <t>Rhythm into the throw, intent ~70%</t>
        </is>
      </c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</sheetData>
  <mergeCells count="3">
    <mergeCell ref="A14:F14"/>
    <mergeCell ref="A6:F6"/>
    <mergeCell ref="A22:F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1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8" customWidth="1" min="4" max="4"/>
    <col width="44" customWidth="1" min="5" max="5"/>
    <col width="10" customWidth="1" min="6" max="6"/>
    <col width="11" customWidth="1" min="7" max="7"/>
    <col width="9" customWidth="1" min="8" max="8"/>
    <col width="11" customWidth="1" min="9" max="9"/>
    <col width="11" customWidth="1" min="10" max="10"/>
    <col width="10" customWidth="1" min="11" max="11"/>
    <col width="10" customWidth="1" min="12" max="12"/>
    <col width="34" customWidth="1" min="13" max="13"/>
    <col width="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9" t="inlineStr">
        <is>
          <t>Throwing Program</t>
        </is>
      </c>
    </row>
    <row r="2">
      <c r="A2" s="2">
        <f>"Athlete: "&amp;Program!$B$4&amp;"     Coach: "&amp;Program!$B$5</f>
        <v/>
      </c>
    </row>
    <row r="3">
      <c r="A3" s="5" t="inlineStr">
        <is>
          <t>One row per day. Coach fills in blue columns B-H; athlete fills in the green columns after each session.</t>
        </is>
      </c>
    </row>
    <row r="4">
      <c r="O4" s="13" t="inlineStr">
        <is>
          <t>Weekly Summary</t>
        </is>
      </c>
    </row>
    <row r="5" ht="30" customHeight="1">
      <c r="A5" s="10" t="inlineStr">
        <is>
          <t>Week</t>
        </is>
      </c>
      <c r="B5" s="10" t="inlineStr">
        <is>
          <t>Date</t>
        </is>
      </c>
      <c r="C5" s="10" t="inlineStr">
        <is>
          <t>Day</t>
        </is>
      </c>
      <c r="D5" s="10" t="inlineStr">
        <is>
          <t>Day Type</t>
        </is>
      </c>
      <c r="E5" s="10" t="inlineStr">
        <is>
          <t>Throwing Plan (drills / distances / pitch mix)</t>
        </is>
      </c>
      <c r="F5" s="10" t="inlineStr">
        <is>
          <t>Planned Throws</t>
        </is>
      </c>
      <c r="G5" s="10" t="inlineStr">
        <is>
          <t>Max Distance (ft)</t>
        </is>
      </c>
      <c r="H5" s="10" t="inlineStr">
        <is>
          <t>Intent %</t>
        </is>
      </c>
      <c r="I5" s="14" t="inlineStr">
        <is>
          <t>Completed? (Y/N)</t>
        </is>
      </c>
      <c r="J5" s="14" t="inlineStr">
        <is>
          <t>Warm Up Done? (Y/N)</t>
        </is>
      </c>
      <c r="K5" s="14" t="inlineStr">
        <is>
          <t>Arm Feel (1-10)</t>
        </is>
      </c>
      <c r="L5" s="14" t="inlineStr">
        <is>
          <t>Top Velo (mph)</t>
        </is>
      </c>
      <c r="M5" s="14" t="inlineStr">
        <is>
          <t>Athlete Notes</t>
        </is>
      </c>
      <c r="O5" s="10" t="inlineStr">
        <is>
          <t>Week</t>
        </is>
      </c>
      <c r="P5" s="10" t="inlineStr">
        <is>
          <t>Planned Throws</t>
        </is>
      </c>
      <c r="Q5" s="10" t="inlineStr">
        <is>
          <t>Days Completed</t>
        </is>
      </c>
      <c r="R5" s="10" t="inlineStr">
        <is>
          <t>Avg Arm Feel</t>
        </is>
      </c>
      <c r="S5" s="10" t="inlineStr">
        <is>
          <t>Top Velo (mph)</t>
        </is>
      </c>
    </row>
    <row r="6">
      <c r="A6" s="15" t="n">
        <v>1</v>
      </c>
      <c r="B6" s="16">
        <f>IF(Program!$B$6="","",Program!$B$6+0)</f>
        <v/>
      </c>
      <c r="C6" s="15">
        <f>IF(B6="","",TEXT(B6,"ddd"))</f>
        <v/>
      </c>
      <c r="D6" s="17" t="inlineStr">
        <is>
          <t>Hybrid</t>
        </is>
      </c>
      <c r="E6" s="12" t="inlineStr">
        <is>
          <t>Warm up + flat ground 60ft, long toss build to 150ft</t>
        </is>
      </c>
      <c r="F6" s="17" t="n">
        <v>50</v>
      </c>
      <c r="G6" s="17" t="n">
        <v>150</v>
      </c>
      <c r="H6" s="17" t="inlineStr">
        <is>
          <t>70%</t>
        </is>
      </c>
      <c r="I6" s="18" t="n"/>
      <c r="J6" s="18" t="n"/>
      <c r="K6" s="18" t="n"/>
      <c r="L6" s="18" t="n"/>
      <c r="M6" s="19" t="n"/>
      <c r="O6" s="20" t="n">
        <v>1</v>
      </c>
      <c r="P6" s="20">
        <f>SUMIFS($F$6:$F$61,$A$6:$A$61,O6)</f>
        <v/>
      </c>
      <c r="Q6" s="20">
        <f>COUNTIFS($A$6:$A$61,O6,$I$6:$I$61,"Y")</f>
        <v/>
      </c>
      <c r="R6" s="21">
        <f>IFERROR(AVERAGEIFS($K$6:$K$61,$A$6:$A$61,O6),"")</f>
        <v/>
      </c>
      <c r="S6" s="20">
        <f>IF(COUNTIFS($A$6:$A$61,O6,$L$6:$L$61,"&gt;0")=0,"",_xlfn.MAXIFS($L$6:$L$61,$A$6:$A$61,O6))</f>
        <v/>
      </c>
    </row>
    <row r="7">
      <c r="A7" s="15" t="n">
        <v>1</v>
      </c>
      <c r="B7" s="16">
        <f>IF(Program!$B$6="","",Program!$B$6+1)</f>
        <v/>
      </c>
      <c r="C7" s="15">
        <f>IF(B7="","",TEXT(B7,"ddd"))</f>
        <v/>
      </c>
      <c r="D7" s="17" t="inlineStr">
        <is>
          <t>Recovery</t>
        </is>
      </c>
      <c r="E7" s="12" t="inlineStr">
        <is>
          <t>Wall drills + light catch 90ft</t>
        </is>
      </c>
      <c r="F7" s="17" t="n">
        <v>30</v>
      </c>
      <c r="G7" s="17" t="n">
        <v>90</v>
      </c>
      <c r="H7" s="17" t="inlineStr">
        <is>
          <t>50%</t>
        </is>
      </c>
      <c r="I7" s="18" t="n"/>
      <c r="J7" s="18" t="n"/>
      <c r="K7" s="18" t="n"/>
      <c r="L7" s="18" t="n"/>
      <c r="M7" s="19" t="n"/>
      <c r="O7" s="20" t="n">
        <v>2</v>
      </c>
      <c r="P7" s="20">
        <f>SUMIFS($F$6:$F$61,$A$6:$A$61,O7)</f>
        <v/>
      </c>
      <c r="Q7" s="20">
        <f>COUNTIFS($A$6:$A$61,O7,$I$6:$I$61,"Y")</f>
        <v/>
      </c>
      <c r="R7" s="21">
        <f>IFERROR(AVERAGEIFS($K$6:$K$61,$A$6:$A$61,O7),"")</f>
        <v/>
      </c>
      <c r="S7" s="20">
        <f>IF(COUNTIFS($A$6:$A$61,O7,$L$6:$L$61,"&gt;0")=0,"",_xlfn.MAXIFS($L$6:$L$61,$A$6:$A$61,O7))</f>
        <v/>
      </c>
    </row>
    <row r="8">
      <c r="A8" s="15" t="n">
        <v>1</v>
      </c>
      <c r="B8" s="16">
        <f>IF(Program!$B$6="","",Program!$B$6+2)</f>
        <v/>
      </c>
      <c r="C8" s="15">
        <f>IF(B8="","",TEXT(B8,"ddd"))</f>
        <v/>
      </c>
      <c r="D8" s="17" t="inlineStr">
        <is>
          <t>High Intent</t>
        </is>
      </c>
      <c r="E8" s="12" t="inlineStr">
        <is>
          <t>Pull-downs, plyo velo throws</t>
        </is>
      </c>
      <c r="F8" s="17" t="n">
        <v>40</v>
      </c>
      <c r="G8" s="17" t="n">
        <v>180</v>
      </c>
      <c r="H8" s="17" t="inlineStr">
        <is>
          <t>90%</t>
        </is>
      </c>
      <c r="I8" s="18" t="n"/>
      <c r="J8" s="18" t="n"/>
      <c r="K8" s="18" t="n"/>
      <c r="L8" s="18" t="n"/>
      <c r="M8" s="19" t="n"/>
      <c r="O8" s="20" t="n">
        <v>3</v>
      </c>
      <c r="P8" s="20">
        <f>SUMIFS($F$6:$F$61,$A$6:$A$61,O8)</f>
        <v/>
      </c>
      <c r="Q8" s="20">
        <f>COUNTIFS($A$6:$A$61,O8,$I$6:$I$61,"Y")</f>
        <v/>
      </c>
      <c r="R8" s="21">
        <f>IFERROR(AVERAGEIFS($K$6:$K$61,$A$6:$A$61,O8),"")</f>
        <v/>
      </c>
      <c r="S8" s="20">
        <f>IF(COUNTIFS($A$6:$A$61,O8,$L$6:$L$61,"&gt;0")=0,"",_xlfn.MAXIFS($L$6:$L$61,$A$6:$A$61,O8))</f>
        <v/>
      </c>
    </row>
    <row r="9">
      <c r="A9" s="15" t="n">
        <v>1</v>
      </c>
      <c r="B9" s="16">
        <f>IF(Program!$B$6="","",Program!$B$6+3)</f>
        <v/>
      </c>
      <c r="C9" s="15">
        <f>IF(B9="","",TEXT(B9,"ddd"))</f>
        <v/>
      </c>
      <c r="D9" s="17" t="inlineStr">
        <is>
          <t>Off</t>
        </is>
      </c>
      <c r="E9" s="12" t="inlineStr">
        <is>
          <t>Arm care only</t>
        </is>
      </c>
      <c r="F9" s="17" t="n"/>
      <c r="G9" s="17" t="n"/>
      <c r="H9" s="17" t="n"/>
      <c r="I9" s="18" t="n"/>
      <c r="J9" s="18" t="n"/>
      <c r="K9" s="18" t="n"/>
      <c r="L9" s="18" t="n"/>
      <c r="M9" s="19" t="n"/>
      <c r="O9" s="20" t="n">
        <v>4</v>
      </c>
      <c r="P9" s="20">
        <f>SUMIFS($F$6:$F$61,$A$6:$A$61,O9)</f>
        <v/>
      </c>
      <c r="Q9" s="20">
        <f>COUNTIFS($A$6:$A$61,O9,$I$6:$I$61,"Y")</f>
        <v/>
      </c>
      <c r="R9" s="21">
        <f>IFERROR(AVERAGEIFS($K$6:$K$61,$A$6:$A$61,O9),"")</f>
        <v/>
      </c>
      <c r="S9" s="20">
        <f>IF(COUNTIFS($A$6:$A$61,O9,$L$6:$L$61,"&gt;0")=0,"",_xlfn.MAXIFS($L$6:$L$61,$A$6:$A$61,O9))</f>
        <v/>
      </c>
    </row>
    <row r="10">
      <c r="A10" s="15" t="n">
        <v>1</v>
      </c>
      <c r="B10" s="16">
        <f>IF(Program!$B$6="","",Program!$B$6+4)</f>
        <v/>
      </c>
      <c r="C10" s="15">
        <f>IF(B10="","",TEXT(B10,"ddd"))</f>
        <v/>
      </c>
      <c r="D10" s="17" t="inlineStr">
        <is>
          <t>Bullpen</t>
        </is>
      </c>
      <c r="E10" s="12" t="inlineStr">
        <is>
          <t>25 pitches: 15 FB, 5 CH, 5 CB - command focus</t>
        </is>
      </c>
      <c r="F10" s="17" t="n">
        <v>25</v>
      </c>
      <c r="G10" s="17" t="n">
        <v>60</v>
      </c>
      <c r="H10" s="17" t="inlineStr">
        <is>
          <t>80%</t>
        </is>
      </c>
      <c r="I10" s="18" t="n"/>
      <c r="J10" s="18" t="n"/>
      <c r="K10" s="18" t="n"/>
      <c r="L10" s="18" t="n"/>
      <c r="M10" s="19" t="n"/>
      <c r="O10" s="20" t="n">
        <v>5</v>
      </c>
      <c r="P10" s="20">
        <f>SUMIFS($F$6:$F$61,$A$6:$A$61,O10)</f>
        <v/>
      </c>
      <c r="Q10" s="20">
        <f>COUNTIFS($A$6:$A$61,O10,$I$6:$I$61,"Y")</f>
        <v/>
      </c>
      <c r="R10" s="21">
        <f>IFERROR(AVERAGEIFS($K$6:$K$61,$A$6:$A$61,O10),"")</f>
        <v/>
      </c>
      <c r="S10" s="20">
        <f>IF(COUNTIFS($A$6:$A$61,O10,$L$6:$L$61,"&gt;0")=0,"",_xlfn.MAXIFS($L$6:$L$61,$A$6:$A$61,O10))</f>
        <v/>
      </c>
    </row>
    <row r="11">
      <c r="A11" s="15" t="n">
        <v>1</v>
      </c>
      <c r="B11" s="16">
        <f>IF(Program!$B$6="","",Program!$B$6+5)</f>
        <v/>
      </c>
      <c r="C11" s="15">
        <f>IF(B11="","",TEXT(B11,"ddd"))</f>
        <v/>
      </c>
      <c r="D11" s="17" t="inlineStr">
        <is>
          <t>Recovery</t>
        </is>
      </c>
      <c r="E11" s="12" t="inlineStr">
        <is>
          <t>Light catch 90ft</t>
        </is>
      </c>
      <c r="F11" s="17" t="n">
        <v>30</v>
      </c>
      <c r="G11" s="17" t="n">
        <v>90</v>
      </c>
      <c r="H11" s="17" t="inlineStr">
        <is>
          <t>50%</t>
        </is>
      </c>
      <c r="I11" s="18" t="n"/>
      <c r="J11" s="18" t="n"/>
      <c r="K11" s="18" t="n"/>
      <c r="L11" s="18" t="n"/>
      <c r="M11" s="19" t="n"/>
      <c r="O11" s="20" t="n">
        <v>6</v>
      </c>
      <c r="P11" s="20">
        <f>SUMIFS($F$6:$F$61,$A$6:$A$61,O11)</f>
        <v/>
      </c>
      <c r="Q11" s="20">
        <f>COUNTIFS($A$6:$A$61,O11,$I$6:$I$61,"Y")</f>
        <v/>
      </c>
      <c r="R11" s="21">
        <f>IFERROR(AVERAGEIFS($K$6:$K$61,$A$6:$A$61,O11),"")</f>
        <v/>
      </c>
      <c r="S11" s="20">
        <f>IF(COUNTIFS($A$6:$A$61,O11,$L$6:$L$61,"&gt;0")=0,"",_xlfn.MAXIFS($L$6:$L$61,$A$6:$A$61,O11))</f>
        <v/>
      </c>
    </row>
    <row r="12">
      <c r="A12" s="22" t="n">
        <v>1</v>
      </c>
      <c r="B12" s="23">
        <f>IF(Program!$B$6="","",Program!$B$6+6)</f>
        <v/>
      </c>
      <c r="C12" s="22">
        <f>IF(B12="","",TEXT(B12,"ddd"))</f>
        <v/>
      </c>
      <c r="D12" s="24" t="inlineStr">
        <is>
          <t>Off</t>
        </is>
      </c>
      <c r="E12" s="25" t="inlineStr">
        <is>
          <t>Full rest - check-in with coach</t>
        </is>
      </c>
      <c r="F12" s="24" t="n"/>
      <c r="G12" s="24" t="n"/>
      <c r="H12" s="24" t="n"/>
      <c r="I12" s="26" t="n"/>
      <c r="J12" s="26" t="n"/>
      <c r="K12" s="26" t="n"/>
      <c r="L12" s="26" t="n"/>
      <c r="M12" s="27" t="n"/>
      <c r="O12" s="20" t="n">
        <v>7</v>
      </c>
      <c r="P12" s="20">
        <f>SUMIFS($F$6:$F$61,$A$6:$A$61,O12)</f>
        <v/>
      </c>
      <c r="Q12" s="20">
        <f>COUNTIFS($A$6:$A$61,O12,$I$6:$I$61,"Y")</f>
        <v/>
      </c>
      <c r="R12" s="21">
        <f>IFERROR(AVERAGEIFS($K$6:$K$61,$A$6:$A$61,O12),"")</f>
        <v/>
      </c>
      <c r="S12" s="20">
        <f>IF(COUNTIFS($A$6:$A$61,O12,$L$6:$L$61,"&gt;0")=0,"",_xlfn.MAXIFS($L$6:$L$61,$A$6:$A$61,O12))</f>
        <v/>
      </c>
    </row>
    <row r="13">
      <c r="A13" s="15" t="n">
        <v>2</v>
      </c>
      <c r="B13" s="16">
        <f>IF(Program!$B$6="","",Program!$B$6+7)</f>
        <v/>
      </c>
      <c r="C13" s="15">
        <f>IF(B13="","",TEXT(B13,"ddd"))</f>
        <v/>
      </c>
      <c r="D13" s="17" t="n"/>
      <c r="E13" s="12" t="n"/>
      <c r="F13" s="17" t="n"/>
      <c r="G13" s="17" t="n"/>
      <c r="H13" s="17" t="n"/>
      <c r="I13" s="18" t="n"/>
      <c r="J13" s="18" t="n"/>
      <c r="K13" s="18" t="n"/>
      <c r="L13" s="18" t="n"/>
      <c r="M13" s="19" t="n"/>
      <c r="O13" s="20" t="n">
        <v>8</v>
      </c>
      <c r="P13" s="20">
        <f>SUMIFS($F$6:$F$61,$A$6:$A$61,O13)</f>
        <v/>
      </c>
      <c r="Q13" s="20">
        <f>COUNTIFS($A$6:$A$61,O13,$I$6:$I$61,"Y")</f>
        <v/>
      </c>
      <c r="R13" s="21">
        <f>IFERROR(AVERAGEIFS($K$6:$K$61,$A$6:$A$61,O13),"")</f>
        <v/>
      </c>
      <c r="S13" s="20">
        <f>IF(COUNTIFS($A$6:$A$61,O13,$L$6:$L$61,"&gt;0")=0,"",_xlfn.MAXIFS($L$6:$L$61,$A$6:$A$61,O13))</f>
        <v/>
      </c>
    </row>
    <row r="14">
      <c r="A14" s="15" t="n">
        <v>2</v>
      </c>
      <c r="B14" s="16">
        <f>IF(Program!$B$6="","",Program!$B$6+8)</f>
        <v/>
      </c>
      <c r="C14" s="15">
        <f>IF(B14="","",TEXT(B14,"ddd"))</f>
        <v/>
      </c>
      <c r="D14" s="17" t="n"/>
      <c r="E14" s="12" t="n"/>
      <c r="F14" s="17" t="n"/>
      <c r="G14" s="17" t="n"/>
      <c r="H14" s="17" t="n"/>
      <c r="I14" s="18" t="n"/>
      <c r="J14" s="18" t="n"/>
      <c r="K14" s="18" t="n"/>
      <c r="L14" s="18" t="n"/>
      <c r="M14" s="19" t="n"/>
    </row>
    <row r="15">
      <c r="A15" s="15" t="n">
        <v>2</v>
      </c>
      <c r="B15" s="16">
        <f>IF(Program!$B$6="","",Program!$B$6+9)</f>
        <v/>
      </c>
      <c r="C15" s="15">
        <f>IF(B15="","",TEXT(B15,"ddd"))</f>
        <v/>
      </c>
      <c r="D15" s="17" t="n"/>
      <c r="E15" s="12" t="n"/>
      <c r="F15" s="17" t="n"/>
      <c r="G15" s="17" t="n"/>
      <c r="H15" s="17" t="n"/>
      <c r="I15" s="18" t="n"/>
      <c r="J15" s="18" t="n"/>
      <c r="K15" s="18" t="n"/>
      <c r="L15" s="18" t="n"/>
      <c r="M15" s="19" t="n"/>
      <c r="O15" s="5" t="inlineStr">
        <is>
          <t>Arm feel of 5 or lower turns red - follow up with the athlete.</t>
        </is>
      </c>
    </row>
    <row r="16">
      <c r="A16" s="15" t="n">
        <v>2</v>
      </c>
      <c r="B16" s="16">
        <f>IF(Program!$B$6="","",Program!$B$6+10)</f>
        <v/>
      </c>
      <c r="C16" s="15">
        <f>IF(B16="","",TEXT(B16,"ddd"))</f>
        <v/>
      </c>
      <c r="D16" s="17" t="n"/>
      <c r="E16" s="12" t="n"/>
      <c r="F16" s="17" t="n"/>
      <c r="G16" s="17" t="n"/>
      <c r="H16" s="17" t="n"/>
      <c r="I16" s="18" t="n"/>
      <c r="J16" s="18" t="n"/>
      <c r="K16" s="18" t="n"/>
      <c r="L16" s="18" t="n"/>
      <c r="M16" s="19" t="n"/>
    </row>
    <row r="17">
      <c r="A17" s="15" t="n">
        <v>2</v>
      </c>
      <c r="B17" s="16">
        <f>IF(Program!$B$6="","",Program!$B$6+11)</f>
        <v/>
      </c>
      <c r="C17" s="15">
        <f>IF(B17="","",TEXT(B17,"ddd"))</f>
        <v/>
      </c>
      <c r="D17" s="17" t="n"/>
      <c r="E17" s="12" t="n"/>
      <c r="F17" s="17" t="n"/>
      <c r="G17" s="17" t="n"/>
      <c r="H17" s="17" t="n"/>
      <c r="I17" s="18" t="n"/>
      <c r="J17" s="18" t="n"/>
      <c r="K17" s="18" t="n"/>
      <c r="L17" s="18" t="n"/>
      <c r="M17" s="19" t="n"/>
    </row>
    <row r="18">
      <c r="A18" s="15" t="n">
        <v>2</v>
      </c>
      <c r="B18" s="16">
        <f>IF(Program!$B$6="","",Program!$B$6+12)</f>
        <v/>
      </c>
      <c r="C18" s="15">
        <f>IF(B18="","",TEXT(B18,"ddd"))</f>
        <v/>
      </c>
      <c r="D18" s="17" t="n"/>
      <c r="E18" s="12" t="n"/>
      <c r="F18" s="17" t="n"/>
      <c r="G18" s="17" t="n"/>
      <c r="H18" s="17" t="n"/>
      <c r="I18" s="18" t="n"/>
      <c r="J18" s="18" t="n"/>
      <c r="K18" s="18" t="n"/>
      <c r="L18" s="18" t="n"/>
      <c r="M18" s="19" t="n"/>
    </row>
    <row r="19">
      <c r="A19" s="22" t="n">
        <v>2</v>
      </c>
      <c r="B19" s="23">
        <f>IF(Program!$B$6="","",Program!$B$6+13)</f>
        <v/>
      </c>
      <c r="C19" s="22">
        <f>IF(B19="","",TEXT(B19,"ddd"))</f>
        <v/>
      </c>
      <c r="D19" s="24" t="n"/>
      <c r="E19" s="25" t="n"/>
      <c r="F19" s="24" t="n"/>
      <c r="G19" s="24" t="n"/>
      <c r="H19" s="24" t="n"/>
      <c r="I19" s="26" t="n"/>
      <c r="J19" s="26" t="n"/>
      <c r="K19" s="26" t="n"/>
      <c r="L19" s="26" t="n"/>
      <c r="M19" s="27" t="n"/>
    </row>
    <row r="20">
      <c r="A20" s="15" t="n">
        <v>3</v>
      </c>
      <c r="B20" s="16">
        <f>IF(Program!$B$6="","",Program!$B$6+14)</f>
        <v/>
      </c>
      <c r="C20" s="15">
        <f>IF(B20="","",TEXT(B20,"ddd"))</f>
        <v/>
      </c>
      <c r="D20" s="17" t="n"/>
      <c r="E20" s="12" t="n"/>
      <c r="F20" s="17" t="n"/>
      <c r="G20" s="17" t="n"/>
      <c r="H20" s="17" t="n"/>
      <c r="I20" s="18" t="n"/>
      <c r="J20" s="18" t="n"/>
      <c r="K20" s="18" t="n"/>
      <c r="L20" s="18" t="n"/>
      <c r="M20" s="19" t="n"/>
    </row>
    <row r="21">
      <c r="A21" s="15" t="n">
        <v>3</v>
      </c>
      <c r="B21" s="16">
        <f>IF(Program!$B$6="","",Program!$B$6+15)</f>
        <v/>
      </c>
      <c r="C21" s="15">
        <f>IF(B21="","",TEXT(B21,"ddd"))</f>
        <v/>
      </c>
      <c r="D21" s="17" t="n"/>
      <c r="E21" s="12" t="n"/>
      <c r="F21" s="17" t="n"/>
      <c r="G21" s="17" t="n"/>
      <c r="H21" s="17" t="n"/>
      <c r="I21" s="18" t="n"/>
      <c r="J21" s="18" t="n"/>
      <c r="K21" s="18" t="n"/>
      <c r="L21" s="18" t="n"/>
      <c r="M21" s="19" t="n"/>
    </row>
    <row r="22">
      <c r="A22" s="15" t="n">
        <v>3</v>
      </c>
      <c r="B22" s="16">
        <f>IF(Program!$B$6="","",Program!$B$6+16)</f>
        <v/>
      </c>
      <c r="C22" s="15">
        <f>IF(B22="","",TEXT(B22,"ddd"))</f>
        <v/>
      </c>
      <c r="D22" s="17" t="n"/>
      <c r="E22" s="12" t="n"/>
      <c r="F22" s="17" t="n"/>
      <c r="G22" s="17" t="n"/>
      <c r="H22" s="17" t="n"/>
      <c r="I22" s="18" t="n"/>
      <c r="J22" s="18" t="n"/>
      <c r="K22" s="18" t="n"/>
      <c r="L22" s="18" t="n"/>
      <c r="M22" s="19" t="n"/>
    </row>
    <row r="23">
      <c r="A23" s="15" t="n">
        <v>3</v>
      </c>
      <c r="B23" s="16">
        <f>IF(Program!$B$6="","",Program!$B$6+17)</f>
        <v/>
      </c>
      <c r="C23" s="15">
        <f>IF(B23="","",TEXT(B23,"ddd"))</f>
        <v/>
      </c>
      <c r="D23" s="17" t="n"/>
      <c r="E23" s="12" t="n"/>
      <c r="F23" s="17" t="n"/>
      <c r="G23" s="17" t="n"/>
      <c r="H23" s="17" t="n"/>
      <c r="I23" s="18" t="n"/>
      <c r="J23" s="18" t="n"/>
      <c r="K23" s="18" t="n"/>
      <c r="L23" s="18" t="n"/>
      <c r="M23" s="19" t="n"/>
    </row>
    <row r="24">
      <c r="A24" s="15" t="n">
        <v>3</v>
      </c>
      <c r="B24" s="16">
        <f>IF(Program!$B$6="","",Program!$B$6+18)</f>
        <v/>
      </c>
      <c r="C24" s="15">
        <f>IF(B24="","",TEXT(B24,"ddd"))</f>
        <v/>
      </c>
      <c r="D24" s="17" t="n"/>
      <c r="E24" s="12" t="n"/>
      <c r="F24" s="17" t="n"/>
      <c r="G24" s="17" t="n"/>
      <c r="H24" s="17" t="n"/>
      <c r="I24" s="18" t="n"/>
      <c r="J24" s="18" t="n"/>
      <c r="K24" s="18" t="n"/>
      <c r="L24" s="18" t="n"/>
      <c r="M24" s="19" t="n"/>
    </row>
    <row r="25">
      <c r="A25" s="15" t="n">
        <v>3</v>
      </c>
      <c r="B25" s="16">
        <f>IF(Program!$B$6="","",Program!$B$6+19)</f>
        <v/>
      </c>
      <c r="C25" s="15">
        <f>IF(B25="","",TEXT(B25,"ddd"))</f>
        <v/>
      </c>
      <c r="D25" s="17" t="n"/>
      <c r="E25" s="12" t="n"/>
      <c r="F25" s="17" t="n"/>
      <c r="G25" s="17" t="n"/>
      <c r="H25" s="17" t="n"/>
      <c r="I25" s="18" t="n"/>
      <c r="J25" s="18" t="n"/>
      <c r="K25" s="18" t="n"/>
      <c r="L25" s="18" t="n"/>
      <c r="M25" s="19" t="n"/>
    </row>
    <row r="26">
      <c r="A26" s="22" t="n">
        <v>3</v>
      </c>
      <c r="B26" s="23">
        <f>IF(Program!$B$6="","",Program!$B$6+20)</f>
        <v/>
      </c>
      <c r="C26" s="22">
        <f>IF(B26="","",TEXT(B26,"ddd"))</f>
        <v/>
      </c>
      <c r="D26" s="24" t="n"/>
      <c r="E26" s="25" t="n"/>
      <c r="F26" s="24" t="n"/>
      <c r="G26" s="24" t="n"/>
      <c r="H26" s="24" t="n"/>
      <c r="I26" s="26" t="n"/>
      <c r="J26" s="26" t="n"/>
      <c r="K26" s="26" t="n"/>
      <c r="L26" s="26" t="n"/>
      <c r="M26" s="27" t="n"/>
    </row>
    <row r="27">
      <c r="A27" s="15" t="n">
        <v>4</v>
      </c>
      <c r="B27" s="16">
        <f>IF(Program!$B$6="","",Program!$B$6+21)</f>
        <v/>
      </c>
      <c r="C27" s="15">
        <f>IF(B27="","",TEXT(B27,"ddd"))</f>
        <v/>
      </c>
      <c r="D27" s="17" t="n"/>
      <c r="E27" s="12" t="n"/>
      <c r="F27" s="17" t="n"/>
      <c r="G27" s="17" t="n"/>
      <c r="H27" s="17" t="n"/>
      <c r="I27" s="18" t="n"/>
      <c r="J27" s="18" t="n"/>
      <c r="K27" s="18" t="n"/>
      <c r="L27" s="18" t="n"/>
      <c r="M27" s="19" t="n"/>
    </row>
    <row r="28">
      <c r="A28" s="15" t="n">
        <v>4</v>
      </c>
      <c r="B28" s="16">
        <f>IF(Program!$B$6="","",Program!$B$6+22)</f>
        <v/>
      </c>
      <c r="C28" s="15">
        <f>IF(B28="","",TEXT(B28,"ddd"))</f>
        <v/>
      </c>
      <c r="D28" s="17" t="n"/>
      <c r="E28" s="12" t="n"/>
      <c r="F28" s="17" t="n"/>
      <c r="G28" s="17" t="n"/>
      <c r="H28" s="17" t="n"/>
      <c r="I28" s="18" t="n"/>
      <c r="J28" s="18" t="n"/>
      <c r="K28" s="18" t="n"/>
      <c r="L28" s="18" t="n"/>
      <c r="M28" s="19" t="n"/>
    </row>
    <row r="29">
      <c r="A29" s="15" t="n">
        <v>4</v>
      </c>
      <c r="B29" s="16">
        <f>IF(Program!$B$6="","",Program!$B$6+23)</f>
        <v/>
      </c>
      <c r="C29" s="15">
        <f>IF(B29="","",TEXT(B29,"ddd"))</f>
        <v/>
      </c>
      <c r="D29" s="17" t="n"/>
      <c r="E29" s="12" t="n"/>
      <c r="F29" s="17" t="n"/>
      <c r="G29" s="17" t="n"/>
      <c r="H29" s="17" t="n"/>
      <c r="I29" s="18" t="n"/>
      <c r="J29" s="18" t="n"/>
      <c r="K29" s="18" t="n"/>
      <c r="L29" s="18" t="n"/>
      <c r="M29" s="19" t="n"/>
    </row>
    <row r="30">
      <c r="A30" s="15" t="n">
        <v>4</v>
      </c>
      <c r="B30" s="16">
        <f>IF(Program!$B$6="","",Program!$B$6+24)</f>
        <v/>
      </c>
      <c r="C30" s="15">
        <f>IF(B30="","",TEXT(B30,"ddd"))</f>
        <v/>
      </c>
      <c r="D30" s="17" t="n"/>
      <c r="E30" s="12" t="n"/>
      <c r="F30" s="17" t="n"/>
      <c r="G30" s="17" t="n"/>
      <c r="H30" s="17" t="n"/>
      <c r="I30" s="18" t="n"/>
      <c r="J30" s="18" t="n"/>
      <c r="K30" s="18" t="n"/>
      <c r="L30" s="18" t="n"/>
      <c r="M30" s="19" t="n"/>
    </row>
    <row r="31">
      <c r="A31" s="15" t="n">
        <v>4</v>
      </c>
      <c r="B31" s="16">
        <f>IF(Program!$B$6="","",Program!$B$6+25)</f>
        <v/>
      </c>
      <c r="C31" s="15">
        <f>IF(B31="","",TEXT(B31,"ddd"))</f>
        <v/>
      </c>
      <c r="D31" s="17" t="n"/>
      <c r="E31" s="12" t="n"/>
      <c r="F31" s="17" t="n"/>
      <c r="G31" s="17" t="n"/>
      <c r="H31" s="17" t="n"/>
      <c r="I31" s="18" t="n"/>
      <c r="J31" s="18" t="n"/>
      <c r="K31" s="18" t="n"/>
      <c r="L31" s="18" t="n"/>
      <c r="M31" s="19" t="n"/>
    </row>
    <row r="32">
      <c r="A32" s="15" t="n">
        <v>4</v>
      </c>
      <c r="B32" s="16">
        <f>IF(Program!$B$6="","",Program!$B$6+26)</f>
        <v/>
      </c>
      <c r="C32" s="15">
        <f>IF(B32="","",TEXT(B32,"ddd"))</f>
        <v/>
      </c>
      <c r="D32" s="17" t="n"/>
      <c r="E32" s="12" t="n"/>
      <c r="F32" s="17" t="n"/>
      <c r="G32" s="17" t="n"/>
      <c r="H32" s="17" t="n"/>
      <c r="I32" s="18" t="n"/>
      <c r="J32" s="18" t="n"/>
      <c r="K32" s="18" t="n"/>
      <c r="L32" s="18" t="n"/>
      <c r="M32" s="19" t="n"/>
    </row>
    <row r="33">
      <c r="A33" s="22" t="n">
        <v>4</v>
      </c>
      <c r="B33" s="23">
        <f>IF(Program!$B$6="","",Program!$B$6+27)</f>
        <v/>
      </c>
      <c r="C33" s="22">
        <f>IF(B33="","",TEXT(B33,"ddd"))</f>
        <v/>
      </c>
      <c r="D33" s="24" t="n"/>
      <c r="E33" s="25" t="n"/>
      <c r="F33" s="24" t="n"/>
      <c r="G33" s="24" t="n"/>
      <c r="H33" s="24" t="n"/>
      <c r="I33" s="26" t="n"/>
      <c r="J33" s="26" t="n"/>
      <c r="K33" s="26" t="n"/>
      <c r="L33" s="26" t="n"/>
      <c r="M33" s="27" t="n"/>
    </row>
    <row r="34">
      <c r="A34" s="15" t="n">
        <v>5</v>
      </c>
      <c r="B34" s="16">
        <f>IF(Program!$B$6="","",Program!$B$6+28)</f>
        <v/>
      </c>
      <c r="C34" s="15">
        <f>IF(B34="","",TEXT(B34,"ddd"))</f>
        <v/>
      </c>
      <c r="D34" s="17" t="n"/>
      <c r="E34" s="12" t="n"/>
      <c r="F34" s="17" t="n"/>
      <c r="G34" s="17" t="n"/>
      <c r="H34" s="17" t="n"/>
      <c r="I34" s="18" t="n"/>
      <c r="J34" s="18" t="n"/>
      <c r="K34" s="18" t="n"/>
      <c r="L34" s="18" t="n"/>
      <c r="M34" s="19" t="n"/>
    </row>
    <row r="35">
      <c r="A35" s="15" t="n">
        <v>5</v>
      </c>
      <c r="B35" s="16">
        <f>IF(Program!$B$6="","",Program!$B$6+29)</f>
        <v/>
      </c>
      <c r="C35" s="15">
        <f>IF(B35="","",TEXT(B35,"ddd"))</f>
        <v/>
      </c>
      <c r="D35" s="17" t="n"/>
      <c r="E35" s="12" t="n"/>
      <c r="F35" s="17" t="n"/>
      <c r="G35" s="17" t="n"/>
      <c r="H35" s="17" t="n"/>
      <c r="I35" s="18" t="n"/>
      <c r="J35" s="18" t="n"/>
      <c r="K35" s="18" t="n"/>
      <c r="L35" s="18" t="n"/>
      <c r="M35" s="19" t="n"/>
    </row>
    <row r="36">
      <c r="A36" s="15" t="n">
        <v>5</v>
      </c>
      <c r="B36" s="16">
        <f>IF(Program!$B$6="","",Program!$B$6+30)</f>
        <v/>
      </c>
      <c r="C36" s="15">
        <f>IF(B36="","",TEXT(B36,"ddd"))</f>
        <v/>
      </c>
      <c r="D36" s="17" t="n"/>
      <c r="E36" s="12" t="n"/>
      <c r="F36" s="17" t="n"/>
      <c r="G36" s="17" t="n"/>
      <c r="H36" s="17" t="n"/>
      <c r="I36" s="18" t="n"/>
      <c r="J36" s="18" t="n"/>
      <c r="K36" s="18" t="n"/>
      <c r="L36" s="18" t="n"/>
      <c r="M36" s="19" t="n"/>
    </row>
    <row r="37">
      <c r="A37" s="15" t="n">
        <v>5</v>
      </c>
      <c r="B37" s="16">
        <f>IF(Program!$B$6="","",Program!$B$6+31)</f>
        <v/>
      </c>
      <c r="C37" s="15">
        <f>IF(B37="","",TEXT(B37,"ddd"))</f>
        <v/>
      </c>
      <c r="D37" s="17" t="n"/>
      <c r="E37" s="12" t="n"/>
      <c r="F37" s="17" t="n"/>
      <c r="G37" s="17" t="n"/>
      <c r="H37" s="17" t="n"/>
      <c r="I37" s="18" t="n"/>
      <c r="J37" s="18" t="n"/>
      <c r="K37" s="18" t="n"/>
      <c r="L37" s="18" t="n"/>
      <c r="M37" s="19" t="n"/>
    </row>
    <row r="38">
      <c r="A38" s="15" t="n">
        <v>5</v>
      </c>
      <c r="B38" s="16">
        <f>IF(Program!$B$6="","",Program!$B$6+32)</f>
        <v/>
      </c>
      <c r="C38" s="15">
        <f>IF(B38="","",TEXT(B38,"ddd"))</f>
        <v/>
      </c>
      <c r="D38" s="17" t="n"/>
      <c r="E38" s="12" t="n"/>
      <c r="F38" s="17" t="n"/>
      <c r="G38" s="17" t="n"/>
      <c r="H38" s="17" t="n"/>
      <c r="I38" s="18" t="n"/>
      <c r="J38" s="18" t="n"/>
      <c r="K38" s="18" t="n"/>
      <c r="L38" s="18" t="n"/>
      <c r="M38" s="19" t="n"/>
    </row>
    <row r="39">
      <c r="A39" s="15" t="n">
        <v>5</v>
      </c>
      <c r="B39" s="16">
        <f>IF(Program!$B$6="","",Program!$B$6+33)</f>
        <v/>
      </c>
      <c r="C39" s="15">
        <f>IF(B39="","",TEXT(B39,"ddd"))</f>
        <v/>
      </c>
      <c r="D39" s="17" t="n"/>
      <c r="E39" s="12" t="n"/>
      <c r="F39" s="17" t="n"/>
      <c r="G39" s="17" t="n"/>
      <c r="H39" s="17" t="n"/>
      <c r="I39" s="18" t="n"/>
      <c r="J39" s="18" t="n"/>
      <c r="K39" s="18" t="n"/>
      <c r="L39" s="18" t="n"/>
      <c r="M39" s="19" t="n"/>
    </row>
    <row r="40">
      <c r="A40" s="22" t="n">
        <v>5</v>
      </c>
      <c r="B40" s="23">
        <f>IF(Program!$B$6="","",Program!$B$6+34)</f>
        <v/>
      </c>
      <c r="C40" s="22">
        <f>IF(B40="","",TEXT(B40,"ddd"))</f>
        <v/>
      </c>
      <c r="D40" s="24" t="n"/>
      <c r="E40" s="25" t="n"/>
      <c r="F40" s="24" t="n"/>
      <c r="G40" s="24" t="n"/>
      <c r="H40" s="24" t="n"/>
      <c r="I40" s="26" t="n"/>
      <c r="J40" s="26" t="n"/>
      <c r="K40" s="26" t="n"/>
      <c r="L40" s="26" t="n"/>
      <c r="M40" s="27" t="n"/>
    </row>
    <row r="41">
      <c r="A41" s="15" t="n">
        <v>6</v>
      </c>
      <c r="B41" s="16">
        <f>IF(Program!$B$6="","",Program!$B$6+35)</f>
        <v/>
      </c>
      <c r="C41" s="15">
        <f>IF(B41="","",TEXT(B41,"ddd"))</f>
        <v/>
      </c>
      <c r="D41" s="17" t="n"/>
      <c r="E41" s="12" t="n"/>
      <c r="F41" s="17" t="n"/>
      <c r="G41" s="17" t="n"/>
      <c r="H41" s="17" t="n"/>
      <c r="I41" s="18" t="n"/>
      <c r="J41" s="18" t="n"/>
      <c r="K41" s="18" t="n"/>
      <c r="L41" s="18" t="n"/>
      <c r="M41" s="19" t="n"/>
    </row>
    <row r="42">
      <c r="A42" s="15" t="n">
        <v>6</v>
      </c>
      <c r="B42" s="16">
        <f>IF(Program!$B$6="","",Program!$B$6+36)</f>
        <v/>
      </c>
      <c r="C42" s="15">
        <f>IF(B42="","",TEXT(B42,"ddd"))</f>
        <v/>
      </c>
      <c r="D42" s="17" t="n"/>
      <c r="E42" s="12" t="n"/>
      <c r="F42" s="17" t="n"/>
      <c r="G42" s="17" t="n"/>
      <c r="H42" s="17" t="n"/>
      <c r="I42" s="18" t="n"/>
      <c r="J42" s="18" t="n"/>
      <c r="K42" s="18" t="n"/>
      <c r="L42" s="18" t="n"/>
      <c r="M42" s="19" t="n"/>
    </row>
    <row r="43">
      <c r="A43" s="15" t="n">
        <v>6</v>
      </c>
      <c r="B43" s="16">
        <f>IF(Program!$B$6="","",Program!$B$6+37)</f>
        <v/>
      </c>
      <c r="C43" s="15">
        <f>IF(B43="","",TEXT(B43,"ddd"))</f>
        <v/>
      </c>
      <c r="D43" s="17" t="n"/>
      <c r="E43" s="12" t="n"/>
      <c r="F43" s="17" t="n"/>
      <c r="G43" s="17" t="n"/>
      <c r="H43" s="17" t="n"/>
      <c r="I43" s="18" t="n"/>
      <c r="J43" s="18" t="n"/>
      <c r="K43" s="18" t="n"/>
      <c r="L43" s="18" t="n"/>
      <c r="M43" s="19" t="n"/>
    </row>
    <row r="44">
      <c r="A44" s="15" t="n">
        <v>6</v>
      </c>
      <c r="B44" s="16">
        <f>IF(Program!$B$6="","",Program!$B$6+38)</f>
        <v/>
      </c>
      <c r="C44" s="15">
        <f>IF(B44="","",TEXT(B44,"ddd"))</f>
        <v/>
      </c>
      <c r="D44" s="17" t="n"/>
      <c r="E44" s="12" t="n"/>
      <c r="F44" s="17" t="n"/>
      <c r="G44" s="17" t="n"/>
      <c r="H44" s="17" t="n"/>
      <c r="I44" s="18" t="n"/>
      <c r="J44" s="18" t="n"/>
      <c r="K44" s="18" t="n"/>
      <c r="L44" s="18" t="n"/>
      <c r="M44" s="19" t="n"/>
    </row>
    <row r="45">
      <c r="A45" s="15" t="n">
        <v>6</v>
      </c>
      <c r="B45" s="16">
        <f>IF(Program!$B$6="","",Program!$B$6+39)</f>
        <v/>
      </c>
      <c r="C45" s="15">
        <f>IF(B45="","",TEXT(B45,"ddd"))</f>
        <v/>
      </c>
      <c r="D45" s="17" t="n"/>
      <c r="E45" s="12" t="n"/>
      <c r="F45" s="17" t="n"/>
      <c r="G45" s="17" t="n"/>
      <c r="H45" s="17" t="n"/>
      <c r="I45" s="18" t="n"/>
      <c r="J45" s="18" t="n"/>
      <c r="K45" s="18" t="n"/>
      <c r="L45" s="18" t="n"/>
      <c r="M45" s="19" t="n"/>
    </row>
    <row r="46">
      <c r="A46" s="15" t="n">
        <v>6</v>
      </c>
      <c r="B46" s="16">
        <f>IF(Program!$B$6="","",Program!$B$6+40)</f>
        <v/>
      </c>
      <c r="C46" s="15">
        <f>IF(B46="","",TEXT(B46,"ddd"))</f>
        <v/>
      </c>
      <c r="D46" s="17" t="n"/>
      <c r="E46" s="12" t="n"/>
      <c r="F46" s="17" t="n"/>
      <c r="G46" s="17" t="n"/>
      <c r="H46" s="17" t="n"/>
      <c r="I46" s="18" t="n"/>
      <c r="J46" s="18" t="n"/>
      <c r="K46" s="18" t="n"/>
      <c r="L46" s="18" t="n"/>
      <c r="M46" s="19" t="n"/>
    </row>
    <row r="47">
      <c r="A47" s="22" t="n">
        <v>6</v>
      </c>
      <c r="B47" s="23">
        <f>IF(Program!$B$6="","",Program!$B$6+41)</f>
        <v/>
      </c>
      <c r="C47" s="22">
        <f>IF(B47="","",TEXT(B47,"ddd"))</f>
        <v/>
      </c>
      <c r="D47" s="24" t="n"/>
      <c r="E47" s="25" t="n"/>
      <c r="F47" s="24" t="n"/>
      <c r="G47" s="24" t="n"/>
      <c r="H47" s="24" t="n"/>
      <c r="I47" s="26" t="n"/>
      <c r="J47" s="26" t="n"/>
      <c r="K47" s="26" t="n"/>
      <c r="L47" s="26" t="n"/>
      <c r="M47" s="27" t="n"/>
    </row>
    <row r="48">
      <c r="A48" s="15" t="n">
        <v>7</v>
      </c>
      <c r="B48" s="16">
        <f>IF(Program!$B$6="","",Program!$B$6+42)</f>
        <v/>
      </c>
      <c r="C48" s="15">
        <f>IF(B48="","",TEXT(B48,"ddd"))</f>
        <v/>
      </c>
      <c r="D48" s="17" t="n"/>
      <c r="E48" s="12" t="n"/>
      <c r="F48" s="17" t="n"/>
      <c r="G48" s="17" t="n"/>
      <c r="H48" s="17" t="n"/>
      <c r="I48" s="18" t="n"/>
      <c r="J48" s="18" t="n"/>
      <c r="K48" s="18" t="n"/>
      <c r="L48" s="18" t="n"/>
      <c r="M48" s="19" t="n"/>
    </row>
    <row r="49">
      <c r="A49" s="15" t="n">
        <v>7</v>
      </c>
      <c r="B49" s="16">
        <f>IF(Program!$B$6="","",Program!$B$6+43)</f>
        <v/>
      </c>
      <c r="C49" s="15">
        <f>IF(B49="","",TEXT(B49,"ddd"))</f>
        <v/>
      </c>
      <c r="D49" s="17" t="n"/>
      <c r="E49" s="12" t="n"/>
      <c r="F49" s="17" t="n"/>
      <c r="G49" s="17" t="n"/>
      <c r="H49" s="17" t="n"/>
      <c r="I49" s="18" t="n"/>
      <c r="J49" s="18" t="n"/>
      <c r="K49" s="18" t="n"/>
      <c r="L49" s="18" t="n"/>
      <c r="M49" s="19" t="n"/>
    </row>
    <row r="50">
      <c r="A50" s="15" t="n">
        <v>7</v>
      </c>
      <c r="B50" s="16">
        <f>IF(Program!$B$6="","",Program!$B$6+44)</f>
        <v/>
      </c>
      <c r="C50" s="15">
        <f>IF(B50="","",TEXT(B50,"ddd"))</f>
        <v/>
      </c>
      <c r="D50" s="17" t="n"/>
      <c r="E50" s="12" t="n"/>
      <c r="F50" s="17" t="n"/>
      <c r="G50" s="17" t="n"/>
      <c r="H50" s="17" t="n"/>
      <c r="I50" s="18" t="n"/>
      <c r="J50" s="18" t="n"/>
      <c r="K50" s="18" t="n"/>
      <c r="L50" s="18" t="n"/>
      <c r="M50" s="19" t="n"/>
    </row>
    <row r="51">
      <c r="A51" s="15" t="n">
        <v>7</v>
      </c>
      <c r="B51" s="16">
        <f>IF(Program!$B$6="","",Program!$B$6+45)</f>
        <v/>
      </c>
      <c r="C51" s="15">
        <f>IF(B51="","",TEXT(B51,"ddd"))</f>
        <v/>
      </c>
      <c r="D51" s="17" t="n"/>
      <c r="E51" s="12" t="n"/>
      <c r="F51" s="17" t="n"/>
      <c r="G51" s="17" t="n"/>
      <c r="H51" s="17" t="n"/>
      <c r="I51" s="18" t="n"/>
      <c r="J51" s="18" t="n"/>
      <c r="K51" s="18" t="n"/>
      <c r="L51" s="18" t="n"/>
      <c r="M51" s="19" t="n"/>
    </row>
    <row r="52">
      <c r="A52" s="15" t="n">
        <v>7</v>
      </c>
      <c r="B52" s="16">
        <f>IF(Program!$B$6="","",Program!$B$6+46)</f>
        <v/>
      </c>
      <c r="C52" s="15">
        <f>IF(B52="","",TEXT(B52,"ddd"))</f>
        <v/>
      </c>
      <c r="D52" s="17" t="n"/>
      <c r="E52" s="12" t="n"/>
      <c r="F52" s="17" t="n"/>
      <c r="G52" s="17" t="n"/>
      <c r="H52" s="17" t="n"/>
      <c r="I52" s="18" t="n"/>
      <c r="J52" s="18" t="n"/>
      <c r="K52" s="18" t="n"/>
      <c r="L52" s="18" t="n"/>
      <c r="M52" s="19" t="n"/>
    </row>
    <row r="53">
      <c r="A53" s="15" t="n">
        <v>7</v>
      </c>
      <c r="B53" s="16">
        <f>IF(Program!$B$6="","",Program!$B$6+47)</f>
        <v/>
      </c>
      <c r="C53" s="15">
        <f>IF(B53="","",TEXT(B53,"ddd"))</f>
        <v/>
      </c>
      <c r="D53" s="17" t="n"/>
      <c r="E53" s="12" t="n"/>
      <c r="F53" s="17" t="n"/>
      <c r="G53" s="17" t="n"/>
      <c r="H53" s="17" t="n"/>
      <c r="I53" s="18" t="n"/>
      <c r="J53" s="18" t="n"/>
      <c r="K53" s="18" t="n"/>
      <c r="L53" s="18" t="n"/>
      <c r="M53" s="19" t="n"/>
    </row>
    <row r="54">
      <c r="A54" s="22" t="n">
        <v>7</v>
      </c>
      <c r="B54" s="23">
        <f>IF(Program!$B$6="","",Program!$B$6+48)</f>
        <v/>
      </c>
      <c r="C54" s="22">
        <f>IF(B54="","",TEXT(B54,"ddd"))</f>
        <v/>
      </c>
      <c r="D54" s="24" t="n"/>
      <c r="E54" s="25" t="n"/>
      <c r="F54" s="24" t="n"/>
      <c r="G54" s="24" t="n"/>
      <c r="H54" s="24" t="n"/>
      <c r="I54" s="26" t="n"/>
      <c r="J54" s="26" t="n"/>
      <c r="K54" s="26" t="n"/>
      <c r="L54" s="26" t="n"/>
      <c r="M54" s="27" t="n"/>
    </row>
    <row r="55">
      <c r="A55" s="15" t="n">
        <v>8</v>
      </c>
      <c r="B55" s="16">
        <f>IF(Program!$B$6="","",Program!$B$6+49)</f>
        <v/>
      </c>
      <c r="C55" s="15">
        <f>IF(B55="","",TEXT(B55,"ddd"))</f>
        <v/>
      </c>
      <c r="D55" s="17" t="n"/>
      <c r="E55" s="12" t="n"/>
      <c r="F55" s="17" t="n"/>
      <c r="G55" s="17" t="n"/>
      <c r="H55" s="17" t="n"/>
      <c r="I55" s="18" t="n"/>
      <c r="J55" s="18" t="n"/>
      <c r="K55" s="18" t="n"/>
      <c r="L55" s="18" t="n"/>
      <c r="M55" s="19" t="n"/>
    </row>
    <row r="56">
      <c r="A56" s="15" t="n">
        <v>8</v>
      </c>
      <c r="B56" s="16">
        <f>IF(Program!$B$6="","",Program!$B$6+50)</f>
        <v/>
      </c>
      <c r="C56" s="15">
        <f>IF(B56="","",TEXT(B56,"ddd"))</f>
        <v/>
      </c>
      <c r="D56" s="17" t="n"/>
      <c r="E56" s="12" t="n"/>
      <c r="F56" s="17" t="n"/>
      <c r="G56" s="17" t="n"/>
      <c r="H56" s="17" t="n"/>
      <c r="I56" s="18" t="n"/>
      <c r="J56" s="18" t="n"/>
      <c r="K56" s="18" t="n"/>
      <c r="L56" s="18" t="n"/>
      <c r="M56" s="19" t="n"/>
    </row>
    <row r="57">
      <c r="A57" s="15" t="n">
        <v>8</v>
      </c>
      <c r="B57" s="16">
        <f>IF(Program!$B$6="","",Program!$B$6+51)</f>
        <v/>
      </c>
      <c r="C57" s="15">
        <f>IF(B57="","",TEXT(B57,"ddd"))</f>
        <v/>
      </c>
      <c r="D57" s="17" t="n"/>
      <c r="E57" s="12" t="n"/>
      <c r="F57" s="17" t="n"/>
      <c r="G57" s="17" t="n"/>
      <c r="H57" s="17" t="n"/>
      <c r="I57" s="18" t="n"/>
      <c r="J57" s="18" t="n"/>
      <c r="K57" s="18" t="n"/>
      <c r="L57" s="18" t="n"/>
      <c r="M57" s="19" t="n"/>
    </row>
    <row r="58">
      <c r="A58" s="15" t="n">
        <v>8</v>
      </c>
      <c r="B58" s="16">
        <f>IF(Program!$B$6="","",Program!$B$6+52)</f>
        <v/>
      </c>
      <c r="C58" s="15">
        <f>IF(B58="","",TEXT(B58,"ddd"))</f>
        <v/>
      </c>
      <c r="D58" s="17" t="n"/>
      <c r="E58" s="12" t="n"/>
      <c r="F58" s="17" t="n"/>
      <c r="G58" s="17" t="n"/>
      <c r="H58" s="17" t="n"/>
      <c r="I58" s="18" t="n"/>
      <c r="J58" s="18" t="n"/>
      <c r="K58" s="18" t="n"/>
      <c r="L58" s="18" t="n"/>
      <c r="M58" s="19" t="n"/>
    </row>
    <row r="59">
      <c r="A59" s="15" t="n">
        <v>8</v>
      </c>
      <c r="B59" s="16">
        <f>IF(Program!$B$6="","",Program!$B$6+53)</f>
        <v/>
      </c>
      <c r="C59" s="15">
        <f>IF(B59="","",TEXT(B59,"ddd"))</f>
        <v/>
      </c>
      <c r="D59" s="17" t="n"/>
      <c r="E59" s="12" t="n"/>
      <c r="F59" s="17" t="n"/>
      <c r="G59" s="17" t="n"/>
      <c r="H59" s="17" t="n"/>
      <c r="I59" s="18" t="n"/>
      <c r="J59" s="18" t="n"/>
      <c r="K59" s="18" t="n"/>
      <c r="L59" s="18" t="n"/>
      <c r="M59" s="19" t="n"/>
    </row>
    <row r="60">
      <c r="A60" s="15" t="n">
        <v>8</v>
      </c>
      <c r="B60" s="16">
        <f>IF(Program!$B$6="","",Program!$B$6+54)</f>
        <v/>
      </c>
      <c r="C60" s="15">
        <f>IF(B60="","",TEXT(B60,"ddd"))</f>
        <v/>
      </c>
      <c r="D60" s="17" t="n"/>
      <c r="E60" s="12" t="n"/>
      <c r="F60" s="17" t="n"/>
      <c r="G60" s="17" t="n"/>
      <c r="H60" s="17" t="n"/>
      <c r="I60" s="18" t="n"/>
      <c r="J60" s="18" t="n"/>
      <c r="K60" s="18" t="n"/>
      <c r="L60" s="18" t="n"/>
      <c r="M60" s="19" t="n"/>
    </row>
    <row r="61">
      <c r="A61" s="22" t="n">
        <v>8</v>
      </c>
      <c r="B61" s="23">
        <f>IF(Program!$B$6="","",Program!$B$6+55)</f>
        <v/>
      </c>
      <c r="C61" s="22">
        <f>IF(B61="","",TEXT(B61,"ddd"))</f>
        <v/>
      </c>
      <c r="D61" s="24" t="n"/>
      <c r="E61" s="25" t="n"/>
      <c r="F61" s="24" t="n"/>
      <c r="G61" s="24" t="n"/>
      <c r="H61" s="24" t="n"/>
      <c r="I61" s="26" t="n"/>
      <c r="J61" s="26" t="n"/>
      <c r="K61" s="26" t="n"/>
      <c r="L61" s="26" t="n"/>
      <c r="M61" s="27" t="n"/>
    </row>
  </sheetData>
  <conditionalFormatting sqref="D6:D61">
    <cfRule type="expression" priority="1" dxfId="0">
      <formula>$D6="Recovery"</formula>
    </cfRule>
    <cfRule type="expression" priority="2" dxfId="1">
      <formula>$D6="Hybrid"</formula>
    </cfRule>
    <cfRule type="expression" priority="3" dxfId="2">
      <formula>$D6="High Intent"</formula>
    </cfRule>
    <cfRule type="expression" priority="4" dxfId="3">
      <formula>$D6="Bullpen"</formula>
    </cfRule>
    <cfRule type="expression" priority="5" dxfId="4">
      <formula>$D6="Long Toss"</formula>
    </cfRule>
    <cfRule type="expression" priority="6" dxfId="5">
      <formula>$D6="Live / Game"</formula>
    </cfRule>
    <cfRule type="expression" priority="7" dxfId="6">
      <formula>$D6="Off"</formula>
    </cfRule>
  </conditionalFormatting>
  <conditionalFormatting sqref="K6:K61">
    <cfRule type="expression" priority="8" dxfId="7">
      <formula>AND(K6&lt;&gt;"",K6&lt;=5)</formula>
    </cfRule>
  </conditionalFormatting>
  <dataValidations count="3">
    <dataValidation sqref="D6:D61" showDropDown="0" showInputMessage="0" showErrorMessage="0" allowBlank="1" type="list">
      <formula1>"Recovery,Hybrid,High Intent,Bullpen,Long Toss,Live / Game,Off"</formula1>
    </dataValidation>
    <dataValidation sqref="I6:J61" showDropDown="0" showInputMessage="0" showErrorMessage="0" allowBlank="1" type="list">
      <formula1>"Y,N"</formula1>
    </dataValidation>
    <dataValidation sqref="K6:K61" showDropDown="0" showInputMessage="0" showErrorMessage="1" allowBlank="1" error="Rate arm feel from 1 (bad) to 10 (great)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6" customWidth="1" min="3" max="3"/>
    <col width="8" customWidth="1" min="4" max="4"/>
    <col width="12" customWidth="1" min="5" max="5"/>
    <col width="34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0" customWidth="1" min="16" max="16"/>
  </cols>
  <sheetData>
    <row r="1">
      <c r="A1" s="9" t="inlineStr">
        <is>
          <t>Lifting Program</t>
        </is>
      </c>
    </row>
    <row r="2">
      <c r="A2" s="2">
        <f>"Athlete: "&amp;Program!$B$4&amp;"     Coach: "&amp;Program!$B$5</f>
        <v/>
      </c>
    </row>
    <row r="3">
      <c r="A3" s="5" t="inlineStr">
        <is>
          <t>3 lift days per week. Coach fills in blue columns; athlete logs weight x reps (e.g. 135x8) in the green week columns.</t>
        </is>
      </c>
    </row>
    <row r="5" ht="30" customHeight="1">
      <c r="A5" s="10" t="inlineStr">
        <is>
          <t>#</t>
        </is>
      </c>
      <c r="B5" s="10" t="inlineStr">
        <is>
          <t>Exercise</t>
        </is>
      </c>
      <c r="C5" s="10" t="inlineStr">
        <is>
          <t>Sets</t>
        </is>
      </c>
      <c r="D5" s="10" t="inlineStr">
        <is>
          <t>Reps</t>
        </is>
      </c>
      <c r="E5" s="10" t="inlineStr">
        <is>
          <t>Rest / Tempo</t>
        </is>
      </c>
      <c r="F5" s="10" t="inlineStr">
        <is>
          <t>Coaching Cues</t>
        </is>
      </c>
      <c r="G5" s="10" t="inlineStr">
        <is>
          <t>Video Link</t>
        </is>
      </c>
      <c r="H5" s="14" t="inlineStr">
        <is>
          <t>Week 1</t>
        </is>
      </c>
      <c r="I5" s="14" t="inlineStr">
        <is>
          <t>Week 2</t>
        </is>
      </c>
      <c r="J5" s="14" t="inlineStr">
        <is>
          <t>Week 3</t>
        </is>
      </c>
      <c r="K5" s="14" t="inlineStr">
        <is>
          <t>Week 4</t>
        </is>
      </c>
      <c r="L5" s="14" t="inlineStr">
        <is>
          <t>Week 5</t>
        </is>
      </c>
      <c r="M5" s="14" t="inlineStr">
        <is>
          <t>Week 6</t>
        </is>
      </c>
      <c r="N5" s="14" t="inlineStr">
        <is>
          <t>Week 7</t>
        </is>
      </c>
      <c r="O5" s="14" t="inlineStr">
        <is>
          <t>Week 8</t>
        </is>
      </c>
      <c r="P5" s="14" t="inlineStr">
        <is>
          <t>Athlete Notes</t>
        </is>
      </c>
    </row>
    <row r="6">
      <c r="A6" s="11" t="inlineStr">
        <is>
          <t>DAY 1 - LOWER BODY (Monday)</t>
        </is>
      </c>
    </row>
    <row r="7">
      <c r="A7" s="12" t="n">
        <v>1</v>
      </c>
      <c r="B7" s="12" t="inlineStr">
        <is>
          <t>Trap Bar Deadlift</t>
        </is>
      </c>
      <c r="C7" s="12" t="n">
        <v>4</v>
      </c>
      <c r="D7" s="12" t="inlineStr">
        <is>
          <t>5</t>
        </is>
      </c>
      <c r="E7" s="12" t="inlineStr">
        <is>
          <t>2 min</t>
        </is>
      </c>
      <c r="F7" s="12" t="inlineStr">
        <is>
          <t>Hips back, push the floor away</t>
        </is>
      </c>
      <c r="G7" s="12" t="n"/>
      <c r="H7" s="19" t="inlineStr">
        <is>
          <t>225x5</t>
        </is>
      </c>
      <c r="I7" s="19" t="n"/>
      <c r="J7" s="19" t="n"/>
      <c r="K7" s="19" t="n"/>
      <c r="L7" s="19" t="n"/>
      <c r="M7" s="19" t="n"/>
      <c r="N7" s="19" t="n"/>
      <c r="O7" s="19" t="n"/>
      <c r="P7" s="19" t="n"/>
    </row>
    <row r="8">
      <c r="A8" s="12" t="n">
        <v>2</v>
      </c>
      <c r="B8" s="12" t="inlineStr">
        <is>
          <t>Rear Foot Elevated Split Squat</t>
        </is>
      </c>
      <c r="C8" s="12" t="n">
        <v>3</v>
      </c>
      <c r="D8" s="12" t="inlineStr">
        <is>
          <t>8 / leg</t>
        </is>
      </c>
      <c r="E8" s="12" t="inlineStr">
        <is>
          <t>90 sec</t>
        </is>
      </c>
      <c r="F8" s="12" t="inlineStr">
        <is>
          <t>Front shin vertical, control down</t>
        </is>
      </c>
      <c r="G8" s="12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</row>
    <row r="9">
      <c r="A9" s="12" t="n">
        <v>3</v>
      </c>
      <c r="B9" s="12" t="inlineStr">
        <is>
          <t>Lateral Box Step-Up</t>
        </is>
      </c>
      <c r="C9" s="12" t="n">
        <v>3</v>
      </c>
      <c r="D9" s="12" t="inlineStr">
        <is>
          <t>8 / leg</t>
        </is>
      </c>
      <c r="E9" s="12" t="inlineStr">
        <is>
          <t>60 sec</t>
        </is>
      </c>
      <c r="F9" s="12" t="inlineStr">
        <is>
          <t>Drive through the full foot</t>
        </is>
      </c>
      <c r="G9" s="12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</row>
    <row r="10">
      <c r="A10" s="12" t="n">
        <v>4</v>
      </c>
      <c r="B10" s="12" t="inlineStr">
        <is>
          <t>Single-Leg RDL</t>
        </is>
      </c>
      <c r="C10" s="12" t="n">
        <v>3</v>
      </c>
      <c r="D10" s="12" t="inlineStr">
        <is>
          <t>8 / leg</t>
        </is>
      </c>
      <c r="E10" s="12" t="inlineStr">
        <is>
          <t>60 sec</t>
        </is>
      </c>
      <c r="F10" s="12" t="inlineStr">
        <is>
          <t>Hinge, square hips, soft knee</t>
        </is>
      </c>
      <c r="G10" s="12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</row>
    <row r="11">
      <c r="A11" s="12" t="n">
        <v>5</v>
      </c>
      <c r="B11" s="12" t="inlineStr">
        <is>
          <t>Copenhagen Plank</t>
        </is>
      </c>
      <c r="C11" s="12" t="n">
        <v>3</v>
      </c>
      <c r="D11" s="12" t="inlineStr">
        <is>
          <t>20 sec / side</t>
        </is>
      </c>
      <c r="E11" s="12" t="inlineStr">
        <is>
          <t>45 sec</t>
        </is>
      </c>
      <c r="F11" s="12" t="inlineStr">
        <is>
          <t>Straight line, ribs down</t>
        </is>
      </c>
      <c r="G11" s="12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</row>
    <row r="12">
      <c r="A12" s="12" t="n">
        <v>6</v>
      </c>
      <c r="B12" s="12" t="inlineStr">
        <is>
          <t>Med Ball Rotational Scoop Toss</t>
        </is>
      </c>
      <c r="C12" s="12" t="n">
        <v>3</v>
      </c>
      <c r="D12" s="12" t="inlineStr">
        <is>
          <t>5 / side</t>
        </is>
      </c>
      <c r="E12" s="12" t="inlineStr">
        <is>
          <t>60 sec</t>
        </is>
      </c>
      <c r="F12" s="12" t="inlineStr">
        <is>
          <t>Load back hip, explode through</t>
        </is>
      </c>
      <c r="G12" s="12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</row>
    <row r="15">
      <c r="A15" s="11" t="inlineStr">
        <is>
          <t>DAY 2 - UPPER BODY (Wednesday)</t>
        </is>
      </c>
    </row>
    <row r="16">
      <c r="A16" s="12" t="n">
        <v>1</v>
      </c>
      <c r="B16" s="12" t="inlineStr">
        <is>
          <t>Landmine Press (1-arm)</t>
        </is>
      </c>
      <c r="C16" s="12" t="n">
        <v>3</v>
      </c>
      <c r="D16" s="12" t="inlineStr">
        <is>
          <t>8 / arm</t>
        </is>
      </c>
      <c r="E16" s="12" t="inlineStr">
        <is>
          <t>90 sec</t>
        </is>
      </c>
      <c r="F16" s="12" t="inlineStr">
        <is>
          <t>Reach long at the top</t>
        </is>
      </c>
      <c r="G16" s="12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</row>
    <row r="17">
      <c r="A17" s="12" t="n">
        <v>2</v>
      </c>
      <c r="B17" s="12" t="inlineStr">
        <is>
          <t>Chest-Supported DB Row</t>
        </is>
      </c>
      <c r="C17" s="12" t="n">
        <v>4</v>
      </c>
      <c r="D17" s="12" t="inlineStr">
        <is>
          <t>10</t>
        </is>
      </c>
      <c r="E17" s="12" t="inlineStr">
        <is>
          <t>90 sec</t>
        </is>
      </c>
      <c r="F17" s="12" t="inlineStr">
        <is>
          <t>Pull elbow to back pocket</t>
        </is>
      </c>
      <c r="G17" s="12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</row>
    <row r="18">
      <c r="A18" s="12" t="n">
        <v>3</v>
      </c>
      <c r="B18" s="12" t="inlineStr">
        <is>
          <t>Push-Up (weighted if easy)</t>
        </is>
      </c>
      <c r="C18" s="12" t="n">
        <v>3</v>
      </c>
      <c r="D18" s="12" t="inlineStr">
        <is>
          <t>12</t>
        </is>
      </c>
      <c r="E18" s="12" t="inlineStr">
        <is>
          <t>60 sec</t>
        </is>
      </c>
      <c r="F18" s="12" t="inlineStr">
        <is>
          <t>Full range, plank body</t>
        </is>
      </c>
      <c r="G18" s="12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>
      <c r="A19" s="12" t="n">
        <v>4</v>
      </c>
      <c r="B19" s="12" t="inlineStr">
        <is>
          <t>Half-Kneeling Cable Pulldown</t>
        </is>
      </c>
      <c r="C19" s="12" t="n">
        <v>3</v>
      </c>
      <c r="D19" s="12" t="inlineStr">
        <is>
          <t>10 / arm</t>
        </is>
      </c>
      <c r="E19" s="12" t="inlineStr">
        <is>
          <t>60 sec</t>
        </is>
      </c>
      <c r="F19" s="12" t="inlineStr">
        <is>
          <t>Ribs down, no lean</t>
        </is>
      </c>
      <c r="G19" s="12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>
      <c r="A20" s="12" t="n">
        <v>5</v>
      </c>
      <c r="B20" s="12" t="inlineStr">
        <is>
          <t>Prone Y-T-W Raises</t>
        </is>
      </c>
      <c r="C20" s="12" t="n">
        <v>2</v>
      </c>
      <c r="D20" s="12" t="inlineStr">
        <is>
          <t>8 each</t>
        </is>
      </c>
      <c r="E20" s="12" t="inlineStr">
        <is>
          <t>45 sec</t>
        </is>
      </c>
      <c r="F20" s="12" t="inlineStr">
        <is>
          <t>Light weight, squeeze scaps</t>
        </is>
      </c>
      <c r="G20" s="12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>
      <c r="A21" s="12" t="n">
        <v>6</v>
      </c>
      <c r="B21" s="12" t="inlineStr">
        <is>
          <t>Pallof Press</t>
        </is>
      </c>
      <c r="C21" s="12" t="n">
        <v>3</v>
      </c>
      <c r="D21" s="12" t="inlineStr">
        <is>
          <t>10 / side</t>
        </is>
      </c>
      <c r="E21" s="12" t="inlineStr">
        <is>
          <t>45 sec</t>
        </is>
      </c>
      <c r="F21" s="12" t="inlineStr">
        <is>
          <t>Resist rotation, brace</t>
        </is>
      </c>
      <c r="G21" s="12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>
      <c r="A24" s="11" t="inlineStr">
        <is>
          <t>DAY 3 - TOTAL BODY / POWER (Friday)</t>
        </is>
      </c>
    </row>
    <row r="25">
      <c r="A25" s="12" t="n">
        <v>1</v>
      </c>
      <c r="B25" s="12" t="inlineStr">
        <is>
          <t>Box Jump</t>
        </is>
      </c>
      <c r="C25" s="12" t="n">
        <v>4</v>
      </c>
      <c r="D25" s="12" t="inlineStr">
        <is>
          <t>3</t>
        </is>
      </c>
      <c r="E25" s="12" t="inlineStr">
        <is>
          <t>90 sec</t>
        </is>
      </c>
      <c r="F25" s="12" t="inlineStr">
        <is>
          <t>Land soft and quiet, step down</t>
        </is>
      </c>
      <c r="G25" s="12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</row>
    <row r="26">
      <c r="A26" s="12" t="n">
        <v>2</v>
      </c>
      <c r="B26" s="12" t="inlineStr">
        <is>
          <t>Goblet Squat</t>
        </is>
      </c>
      <c r="C26" s="12" t="n">
        <v>3</v>
      </c>
      <c r="D26" s="12" t="inlineStr">
        <is>
          <t>10</t>
        </is>
      </c>
      <c r="E26" s="12" t="inlineStr">
        <is>
          <t>90 sec</t>
        </is>
      </c>
      <c r="F26" s="12" t="inlineStr">
        <is>
          <t>Elbows inside knees, chest tall</t>
        </is>
      </c>
      <c r="G26" s="12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</row>
    <row r="27">
      <c r="A27" s="12" t="n">
        <v>3</v>
      </c>
      <c r="B27" s="12" t="inlineStr">
        <is>
          <t>DB Bench Press</t>
        </is>
      </c>
      <c r="C27" s="12" t="n">
        <v>3</v>
      </c>
      <c r="D27" s="12" t="inlineStr">
        <is>
          <t>8</t>
        </is>
      </c>
      <c r="E27" s="12" t="inlineStr">
        <is>
          <t>90 sec</t>
        </is>
      </c>
      <c r="F27" s="12" t="inlineStr">
        <is>
          <t>Controlled down, drive up</t>
        </is>
      </c>
      <c r="G27" s="12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</row>
    <row r="28">
      <c r="A28" s="12" t="n">
        <v>4</v>
      </c>
      <c r="B28" s="12" t="inlineStr">
        <is>
          <t>Inverted Row</t>
        </is>
      </c>
      <c r="C28" s="12" t="n">
        <v>3</v>
      </c>
      <c r="D28" s="12" t="inlineStr">
        <is>
          <t>10</t>
        </is>
      </c>
      <c r="E28" s="12" t="inlineStr">
        <is>
          <t>60 sec</t>
        </is>
      </c>
      <c r="F28" s="12" t="inlineStr">
        <is>
          <t>Chest to bar, straight body</t>
        </is>
      </c>
      <c r="G28" s="12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</row>
    <row r="29">
      <c r="A29" s="12" t="n">
        <v>5</v>
      </c>
      <c r="B29" s="12" t="inlineStr">
        <is>
          <t>Farmer Carry</t>
        </is>
      </c>
      <c r="C29" s="12" t="n">
        <v>3</v>
      </c>
      <c r="D29" s="12" t="inlineStr">
        <is>
          <t>40 yds</t>
        </is>
      </c>
      <c r="E29" s="12" t="inlineStr">
        <is>
          <t>60 sec</t>
        </is>
      </c>
      <c r="F29" s="12" t="inlineStr">
        <is>
          <t>Tall posture, tight grip</t>
        </is>
      </c>
      <c r="G29" s="12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>
      <c r="A30" s="12" t="n">
        <v>6</v>
      </c>
      <c r="B30" s="12" t="inlineStr">
        <is>
          <t>Dead Bug</t>
        </is>
      </c>
      <c r="C30" s="12" t="n">
        <v>3</v>
      </c>
      <c r="D30" s="12" t="inlineStr">
        <is>
          <t>8 / side</t>
        </is>
      </c>
      <c r="E30" s="12" t="inlineStr">
        <is>
          <t>45 sec</t>
        </is>
      </c>
      <c r="F30" s="12" t="inlineStr">
        <is>
          <t>Low back pressed to floor</t>
        </is>
      </c>
      <c r="G30" s="12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</sheetData>
  <mergeCells count="3">
    <mergeCell ref="A6:P6"/>
    <mergeCell ref="A15:P15"/>
    <mergeCell ref="A24:P2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2026-10-19T22:55:58Z</dcterms:created>
  <dcterms:modified xsi:type="dcterms:W3CDTF">2026-10-19T22:55:58Z</dcterms:modified>
</cp:coreProperties>
</file>
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yments" sheetId="2" state="visible" r:id="rId2"/>
    <sheet name="Clients" sheetId="3" state="visible" r:id="rId3"/>
    <sheet name="Lists" sheetId="4" state="visible" r:id="rId4"/>
  </sheets>
  <definedNames>
    <definedName name="_xlnm._FilterDatabase" localSheetId="1" hidden="1">'Payments'!$A$4:$F$504</definedName>
    <definedName name="_xlnm._FilterDatabase" localSheetId="2" hidden="1">'Clients'!$A$4:$H$504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$#,##0.00;($#,##0.00);&quot;-&quot;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color rgb="000000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6" fontId="5" fillId="0" borderId="0" pivotButton="0" quotePrefix="0" xfId="0"/>
    <xf numFmtId="1" fontId="5" fillId="0" borderId="0" pivotButton="0" quotePrefix="0" xfId="0"/>
    <xf numFmtId="165" fontId="5" fillId="0" borderId="0" pivotButton="0" quotePrefix="0" xfId="0"/>
    <xf numFmtId="1" fontId="4" fillId="3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6" fillId="0" borderId="1" pivotButton="0" quotePrefix="0" xfId="0"/>
    <xf numFmtId="166" fontId="6" fillId="0" borderId="1" pivotButton="0" quotePrefix="0" xfId="0"/>
    <xf numFmtId="0" fontId="3" fillId="2" borderId="0" applyAlignment="1" pivotButton="0" quotePrefix="0" xfId="0">
      <alignment horizontal="center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</cols>
  <sheetData>
    <row r="1">
      <c r="A1" s="1" t="inlineStr">
        <is>
          <t>Client Payments Summary</t>
        </is>
      </c>
    </row>
    <row r="3">
      <c r="A3" s="2" t="inlineStr">
        <is>
          <t>Total received (all time)</t>
        </is>
      </c>
      <c r="B3" s="3">
        <f>SUM(Payments!C5:C504)</f>
        <v/>
      </c>
    </row>
    <row r="4">
      <c r="A4" s="2" t="inlineStr">
        <is>
          <t>Number of payments</t>
        </is>
      </c>
      <c r="B4" s="4">
        <f>COUNT(Payments!C5:C504)</f>
        <v/>
      </c>
    </row>
    <row r="5">
      <c r="A5" s="2" t="inlineStr">
        <is>
          <t>Number of clients</t>
        </is>
      </c>
      <c r="B5" s="4">
        <f>COUNTA(Clients!A5:A504)</f>
        <v/>
      </c>
    </row>
    <row r="6">
      <c r="A6" s="2" t="inlineStr">
        <is>
          <t>Average payment</t>
        </is>
      </c>
      <c r="B6" s="3">
        <f>IFERROR(B3/B4,0)</f>
        <v/>
      </c>
    </row>
    <row r="7">
      <c r="A7" s="2" t="inlineStr">
        <is>
          <t>Most recent payment date</t>
        </is>
      </c>
      <c r="B7" s="5">
        <f>IF(B4=0,"",MAX(Payments!A5:A504))</f>
        <v/>
      </c>
    </row>
    <row r="10">
      <c r="A10" s="2" t="inlineStr">
        <is>
          <t>Monthly totals for year:</t>
        </is>
      </c>
      <c r="B10" s="6" t="n">
        <v>2026</v>
      </c>
      <c r="C10" s="7" t="inlineStr">
        <is>
          <t>&lt;- change the year</t>
        </is>
      </c>
    </row>
    <row r="12">
      <c r="A12" s="8" t="inlineStr">
        <is>
          <t>Month</t>
        </is>
      </c>
      <c r="B12" s="8" t="inlineStr">
        <is>
          <t>Amount Received ($)</t>
        </is>
      </c>
      <c r="C12" s="8" t="inlineStr">
        <is>
          <t># Payments</t>
        </is>
      </c>
    </row>
    <row r="13">
      <c r="A13" s="9" t="inlineStr">
        <is>
          <t>January</t>
        </is>
      </c>
      <c r="B13" s="3">
        <f>SUMIFS(Payments!$C$5:$C$504,Payments!$A$5:$A$504,"&gt;="&amp;DATE($B$10,1,1),Payments!$A$5:$A$504,"&lt;"&amp;DATE($B$10,1+1,1))</f>
        <v/>
      </c>
      <c r="C13" s="9">
        <f>COUNTIFS(Payments!$A$5:$A$504,"&gt;="&amp;DATE($B$10,1,1),Payments!$A$5:$A$504,"&lt;"&amp;DATE($B$10,1+1,1))</f>
        <v/>
      </c>
    </row>
    <row r="14">
      <c r="A14" s="9" t="inlineStr">
        <is>
          <t>February</t>
        </is>
      </c>
      <c r="B14" s="3">
        <f>SUMIFS(Payments!$C$5:$C$504,Payments!$A$5:$A$504,"&gt;="&amp;DATE($B$10,2,1),Payments!$A$5:$A$504,"&lt;"&amp;DATE($B$10,2+1,1))</f>
        <v/>
      </c>
      <c r="C14" s="9">
        <f>COUNTIFS(Payments!$A$5:$A$504,"&gt;="&amp;DATE($B$10,2,1),Payments!$A$5:$A$504,"&lt;"&amp;DATE($B$10,2+1,1))</f>
        <v/>
      </c>
    </row>
    <row r="15">
      <c r="A15" s="9" t="inlineStr">
        <is>
          <t>March</t>
        </is>
      </c>
      <c r="B15" s="3">
        <f>SUMIFS(Payments!$C$5:$C$504,Payments!$A$5:$A$504,"&gt;="&amp;DATE($B$10,3,1),Payments!$A$5:$A$504,"&lt;"&amp;DATE($B$10,3+1,1))</f>
        <v/>
      </c>
      <c r="C15" s="9">
        <f>COUNTIFS(Payments!$A$5:$A$504,"&gt;="&amp;DATE($B$10,3,1),Payments!$A$5:$A$504,"&lt;"&amp;DATE($B$10,3+1,1))</f>
        <v/>
      </c>
    </row>
    <row r="16">
      <c r="A16" s="9" t="inlineStr">
        <is>
          <t>April</t>
        </is>
      </c>
      <c r="B16" s="3">
        <f>SUMIFS(Payments!$C$5:$C$504,Payments!$A$5:$A$504,"&gt;="&amp;DATE($B$10,4,1),Payments!$A$5:$A$504,"&lt;"&amp;DATE($B$10,4+1,1))</f>
        <v/>
      </c>
      <c r="C16" s="9">
        <f>COUNTIFS(Payments!$A$5:$A$504,"&gt;="&amp;DATE($B$10,4,1),Payments!$A$5:$A$504,"&lt;"&amp;DATE($B$10,4+1,1))</f>
        <v/>
      </c>
    </row>
    <row r="17">
      <c r="A17" s="9" t="inlineStr">
        <is>
          <t>May</t>
        </is>
      </c>
      <c r="B17" s="3">
        <f>SUMIFS(Payments!$C$5:$C$504,Payments!$A$5:$A$504,"&gt;="&amp;DATE($B$10,5,1),Payments!$A$5:$A$504,"&lt;"&amp;DATE($B$10,5+1,1))</f>
        <v/>
      </c>
      <c r="C17" s="9">
        <f>COUNTIFS(Payments!$A$5:$A$504,"&gt;="&amp;DATE($B$10,5,1),Payments!$A$5:$A$504,"&lt;"&amp;DATE($B$10,5+1,1))</f>
        <v/>
      </c>
    </row>
    <row r="18">
      <c r="A18" s="9" t="inlineStr">
        <is>
          <t>June</t>
        </is>
      </c>
      <c r="B18" s="3">
        <f>SUMIFS(Payments!$C$5:$C$504,Payments!$A$5:$A$504,"&gt;="&amp;DATE($B$10,6,1),Payments!$A$5:$A$504,"&lt;"&amp;DATE($B$10,6+1,1))</f>
        <v/>
      </c>
      <c r="C18" s="9">
        <f>COUNTIFS(Payments!$A$5:$A$504,"&gt;="&amp;DATE($B$10,6,1),Payments!$A$5:$A$504,"&lt;"&amp;DATE($B$10,6+1,1))</f>
        <v/>
      </c>
    </row>
    <row r="19">
      <c r="A19" s="9" t="inlineStr">
        <is>
          <t>July</t>
        </is>
      </c>
      <c r="B19" s="3">
        <f>SUMIFS(Payments!$C$5:$C$504,Payments!$A$5:$A$504,"&gt;="&amp;DATE($B$10,7,1),Payments!$A$5:$A$504,"&lt;"&amp;DATE($B$10,7+1,1))</f>
        <v/>
      </c>
      <c r="C19" s="9">
        <f>COUNTIFS(Payments!$A$5:$A$504,"&gt;="&amp;DATE($B$10,7,1),Payments!$A$5:$A$504,"&lt;"&amp;DATE($B$10,7+1,1))</f>
        <v/>
      </c>
    </row>
    <row r="20">
      <c r="A20" s="9" t="inlineStr">
        <is>
          <t>August</t>
        </is>
      </c>
      <c r="B20" s="3">
        <f>SUMIFS(Payments!$C$5:$C$504,Payments!$A$5:$A$504,"&gt;="&amp;DATE($B$10,8,1),Payments!$A$5:$A$504,"&lt;"&amp;DATE($B$10,8+1,1))</f>
        <v/>
      </c>
      <c r="C20" s="9">
        <f>COUNTIFS(Payments!$A$5:$A$504,"&gt;="&amp;DATE($B$10,8,1),Payments!$A$5:$A$504,"&lt;"&amp;DATE($B$10,8+1,1))</f>
        <v/>
      </c>
    </row>
    <row r="21">
      <c r="A21" s="9" t="inlineStr">
        <is>
          <t>September</t>
        </is>
      </c>
      <c r="B21" s="3">
        <f>SUMIFS(Payments!$C$5:$C$504,Payments!$A$5:$A$504,"&gt;="&amp;DATE($B$10,9,1),Payments!$A$5:$A$504,"&lt;"&amp;DATE($B$10,9+1,1))</f>
        <v/>
      </c>
      <c r="C21" s="9">
        <f>COUNTIFS(Payments!$A$5:$A$504,"&gt;="&amp;DATE($B$10,9,1),Payments!$A$5:$A$504,"&lt;"&amp;DATE($B$10,9+1,1))</f>
        <v/>
      </c>
    </row>
    <row r="22">
      <c r="A22" s="9" t="inlineStr">
        <is>
          <t>October</t>
        </is>
      </c>
      <c r="B22" s="3">
        <f>SUMIFS(Payments!$C$5:$C$504,Payments!$A$5:$A$504,"&gt;="&amp;DATE($B$10,10,1),Payments!$A$5:$A$504,"&lt;"&amp;DATE($B$10,10+1,1))</f>
        <v/>
      </c>
      <c r="C22" s="9">
        <f>COUNTIFS(Payments!$A$5:$A$504,"&gt;="&amp;DATE($B$10,10,1),Payments!$A$5:$A$504,"&lt;"&amp;DATE($B$10,10+1,1))</f>
        <v/>
      </c>
    </row>
    <row r="23">
      <c r="A23" s="9" t="inlineStr">
        <is>
          <t>November</t>
        </is>
      </c>
      <c r="B23" s="3">
        <f>SUMIFS(Payments!$C$5:$C$504,Payments!$A$5:$A$504,"&gt;="&amp;DATE($B$10,11,1),Payments!$A$5:$A$504,"&lt;"&amp;DATE($B$10,11+1,1))</f>
        <v/>
      </c>
      <c r="C23" s="9">
        <f>COUNTIFS(Payments!$A$5:$A$504,"&gt;="&amp;DATE($B$10,11,1),Payments!$A$5:$A$504,"&lt;"&amp;DATE($B$10,11+1,1))</f>
        <v/>
      </c>
    </row>
    <row r="24">
      <c r="A24" s="9" t="inlineStr">
        <is>
          <t>December</t>
        </is>
      </c>
      <c r="B24" s="3">
        <f>SUMIFS(Payments!$C$5:$C$504,Payments!$A$5:$A$504,"&gt;="&amp;DATE($B$10,12,1),Payments!$A$5:$A$504,"&lt;"&amp;DATE($B$10,12+1,1))</f>
        <v/>
      </c>
      <c r="C24" s="9">
        <f>COUNTIFS(Payments!$A$5:$A$504,"&gt;="&amp;DATE($B$10,12,1),Payments!$A$5:$A$504,"&lt;"&amp;DATE($B$10,12+1,1))</f>
        <v/>
      </c>
    </row>
    <row r="25">
      <c r="A25" s="10" t="inlineStr">
        <is>
          <t>Year total</t>
        </is>
      </c>
      <c r="B25" s="11">
        <f>SUM(B13:B24)</f>
        <v/>
      </c>
      <c r="C25" s="10">
        <f>SUM(C13:C24)</f>
        <v/>
      </c>
    </row>
    <row r="28">
      <c r="A28" s="2" t="inlineStr">
        <is>
          <t>How to use</t>
        </is>
      </c>
    </row>
    <row r="29">
      <c r="A29" s="9" t="inlineStr">
        <is>
          <t>1. Add each client once on the Clients tab (blue columns).</t>
        </is>
      </c>
    </row>
    <row r="30">
      <c r="A30" s="9" t="inlineStr">
        <is>
          <t>2. Log every payment on the Payments tab: date, client (dropdown), amount.</t>
        </is>
      </c>
    </row>
    <row r="31">
      <c r="A31" s="9" t="inlineStr">
        <is>
          <t>3. Totals, payment counts and last-payment dates update automatically.</t>
        </is>
      </c>
    </row>
    <row r="32">
      <c r="A32" s="9" t="inlineStr">
        <is>
          <t>4. Change the yellow year cell above to see monthly totals for another year.</t>
        </is>
      </c>
    </row>
    <row r="33">
      <c r="A33" s="9" t="inlineStr">
        <is>
          <t>5. The 'Example Client LLC' rows are samples - delete them when you start.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8" customWidth="1" min="4" max="4"/>
    <col width="16" customWidth="1" min="5" max="5"/>
    <col width="40" customWidth="1" min="6" max="6"/>
  </cols>
  <sheetData>
    <row r="1">
      <c r="A1" s="1" t="inlineStr">
        <is>
          <t>Payment Log</t>
        </is>
      </c>
    </row>
    <row r="2">
      <c r="A2" s="7" t="inlineStr">
        <is>
          <t>Enter one row per payment. Blue text = your entries. Pick the client from the dropdown (add new clients on the Clients tab first).</t>
        </is>
      </c>
    </row>
    <row r="4">
      <c r="A4" s="12" t="inlineStr">
        <is>
          <t>Date Paid</t>
        </is>
      </c>
      <c r="B4" s="12" t="inlineStr">
        <is>
          <t>Client</t>
        </is>
      </c>
      <c r="C4" s="12" t="inlineStr">
        <is>
          <t>Amount Paid ($)</t>
        </is>
      </c>
      <c r="D4" s="12" t="inlineStr">
        <is>
          <t>Payment Method</t>
        </is>
      </c>
      <c r="E4" s="12" t="inlineStr">
        <is>
          <t>Invoice / Ref #</t>
        </is>
      </c>
      <c r="F4" s="12" t="inlineStr">
        <is>
          <t>Notes</t>
        </is>
      </c>
    </row>
    <row r="5">
      <c r="A5" s="13" t="n">
        <v>46296</v>
      </c>
      <c r="B5" s="14" t="inlineStr">
        <is>
          <t>Example Client LLC</t>
        </is>
      </c>
      <c r="C5" s="15" t="n">
        <v>1250</v>
      </c>
      <c r="D5" s="14" t="inlineStr">
        <is>
          <t>Check</t>
        </is>
      </c>
      <c r="E5" s="14" t="inlineStr">
        <is>
          <t>INV-1001</t>
        </is>
      </c>
      <c r="F5" s="14" t="inlineStr">
        <is>
          <t>Example row - replace or delete</t>
        </is>
      </c>
    </row>
    <row r="6">
      <c r="A6" s="13" t="n"/>
      <c r="B6" s="14" t="n"/>
      <c r="C6" s="15" t="n"/>
      <c r="D6" s="14" t="n"/>
      <c r="E6" s="14" t="n"/>
      <c r="F6" s="14" t="n"/>
    </row>
    <row r="7">
      <c r="A7" s="13" t="n"/>
      <c r="B7" s="14" t="n"/>
      <c r="C7" s="15" t="n"/>
      <c r="D7" s="14" t="n"/>
      <c r="E7" s="14" t="n"/>
      <c r="F7" s="14" t="n"/>
    </row>
    <row r="8">
      <c r="A8" s="13" t="n"/>
      <c r="B8" s="14" t="n"/>
      <c r="C8" s="15" t="n"/>
      <c r="D8" s="14" t="n"/>
      <c r="E8" s="14" t="n"/>
      <c r="F8" s="14" t="n"/>
    </row>
    <row r="9">
      <c r="A9" s="13" t="n"/>
      <c r="B9" s="14" t="n"/>
      <c r="C9" s="15" t="n"/>
      <c r="D9" s="14" t="n"/>
      <c r="E9" s="14" t="n"/>
      <c r="F9" s="14" t="n"/>
    </row>
    <row r="10">
      <c r="A10" s="13" t="n"/>
      <c r="B10" s="14" t="n"/>
      <c r="C10" s="15" t="n"/>
      <c r="D10" s="14" t="n"/>
      <c r="E10" s="14" t="n"/>
      <c r="F10" s="14" t="n"/>
    </row>
    <row r="11">
      <c r="A11" s="13" t="n"/>
      <c r="B11" s="14" t="n"/>
      <c r="C11" s="15" t="n"/>
      <c r="D11" s="14" t="n"/>
      <c r="E11" s="14" t="n"/>
      <c r="F11" s="14" t="n"/>
    </row>
    <row r="12">
      <c r="A12" s="13" t="n"/>
      <c r="B12" s="14" t="n"/>
      <c r="C12" s="15" t="n"/>
      <c r="D12" s="14" t="n"/>
      <c r="E12" s="14" t="n"/>
      <c r="F12" s="14" t="n"/>
    </row>
    <row r="13">
      <c r="A13" s="13" t="n"/>
      <c r="B13" s="14" t="n"/>
      <c r="C13" s="15" t="n"/>
      <c r="D13" s="14" t="n"/>
      <c r="E13" s="14" t="n"/>
      <c r="F13" s="14" t="n"/>
    </row>
    <row r="14">
      <c r="A14" s="13" t="n"/>
      <c r="B14" s="14" t="n"/>
      <c r="C14" s="15" t="n"/>
      <c r="D14" s="14" t="n"/>
      <c r="E14" s="14" t="n"/>
      <c r="F14" s="14" t="n"/>
    </row>
    <row r="15">
      <c r="A15" s="13" t="n"/>
      <c r="B15" s="14" t="n"/>
      <c r="C15" s="15" t="n"/>
      <c r="D15" s="14" t="n"/>
      <c r="E15" s="14" t="n"/>
      <c r="F15" s="14" t="n"/>
    </row>
    <row r="16">
      <c r="A16" s="13" t="n"/>
      <c r="B16" s="14" t="n"/>
      <c r="C16" s="15" t="n"/>
      <c r="D16" s="14" t="n"/>
      <c r="E16" s="14" t="n"/>
      <c r="F16" s="14" t="n"/>
    </row>
    <row r="17">
      <c r="A17" s="13" t="n"/>
      <c r="B17" s="14" t="n"/>
      <c r="C17" s="15" t="n"/>
      <c r="D17" s="14" t="n"/>
      <c r="E17" s="14" t="n"/>
      <c r="F17" s="14" t="n"/>
    </row>
    <row r="18">
      <c r="A18" s="13" t="n"/>
      <c r="B18" s="14" t="n"/>
      <c r="C18" s="15" t="n"/>
      <c r="D18" s="14" t="n"/>
      <c r="E18" s="14" t="n"/>
      <c r="F18" s="14" t="n"/>
    </row>
    <row r="19">
      <c r="A19" s="13" t="n"/>
      <c r="B19" s="14" t="n"/>
      <c r="C19" s="15" t="n"/>
      <c r="D19" s="14" t="n"/>
      <c r="E19" s="14" t="n"/>
      <c r="F19" s="14" t="n"/>
    </row>
    <row r="20">
      <c r="A20" s="13" t="n"/>
      <c r="B20" s="14" t="n"/>
      <c r="C20" s="15" t="n"/>
      <c r="D20" s="14" t="n"/>
      <c r="E20" s="14" t="n"/>
      <c r="F20" s="14" t="n"/>
    </row>
    <row r="21">
      <c r="A21" s="13" t="n"/>
      <c r="B21" s="14" t="n"/>
      <c r="C21" s="15" t="n"/>
      <c r="D21" s="14" t="n"/>
      <c r="E21" s="14" t="n"/>
      <c r="F21" s="14" t="n"/>
    </row>
    <row r="22">
      <c r="A22" s="13" t="n"/>
      <c r="B22" s="14" t="n"/>
      <c r="C22" s="15" t="n"/>
      <c r="D22" s="14" t="n"/>
      <c r="E22" s="14" t="n"/>
      <c r="F22" s="14" t="n"/>
    </row>
    <row r="23">
      <c r="A23" s="13" t="n"/>
      <c r="B23" s="14" t="n"/>
      <c r="C23" s="15" t="n"/>
      <c r="D23" s="14" t="n"/>
      <c r="E23" s="14" t="n"/>
      <c r="F23" s="14" t="n"/>
    </row>
    <row r="24">
      <c r="A24" s="13" t="n"/>
      <c r="B24" s="14" t="n"/>
      <c r="C24" s="15" t="n"/>
      <c r="D24" s="14" t="n"/>
      <c r="E24" s="14" t="n"/>
      <c r="F24" s="14" t="n"/>
    </row>
    <row r="25">
      <c r="A25" s="13" t="n"/>
      <c r="B25" s="14" t="n"/>
      <c r="C25" s="15" t="n"/>
      <c r="D25" s="14" t="n"/>
      <c r="E25" s="14" t="n"/>
      <c r="F25" s="14" t="n"/>
    </row>
    <row r="26">
      <c r="A26" s="13" t="n"/>
      <c r="B26" s="14" t="n"/>
      <c r="C26" s="15" t="n"/>
      <c r="D26" s="14" t="n"/>
      <c r="E26" s="14" t="n"/>
      <c r="F26" s="14" t="n"/>
    </row>
    <row r="27">
      <c r="A27" s="13" t="n"/>
      <c r="B27" s="14" t="n"/>
      <c r="C27" s="15" t="n"/>
      <c r="D27" s="14" t="n"/>
      <c r="E27" s="14" t="n"/>
      <c r="F27" s="14" t="n"/>
    </row>
    <row r="28">
      <c r="A28" s="13" t="n"/>
      <c r="B28" s="14" t="n"/>
      <c r="C28" s="15" t="n"/>
      <c r="D28" s="14" t="n"/>
      <c r="E28" s="14" t="n"/>
      <c r="F28" s="14" t="n"/>
    </row>
    <row r="29">
      <c r="A29" s="13" t="n"/>
      <c r="B29" s="14" t="n"/>
      <c r="C29" s="15" t="n"/>
      <c r="D29" s="14" t="n"/>
      <c r="E29" s="14" t="n"/>
      <c r="F29" s="14" t="n"/>
    </row>
    <row r="30">
      <c r="A30" s="13" t="n"/>
      <c r="B30" s="14" t="n"/>
      <c r="C30" s="15" t="n"/>
      <c r="D30" s="14" t="n"/>
      <c r="E30" s="14" t="n"/>
      <c r="F30" s="14" t="n"/>
    </row>
    <row r="31">
      <c r="A31" s="13" t="n"/>
      <c r="B31" s="14" t="n"/>
      <c r="C31" s="15" t="n"/>
      <c r="D31" s="14" t="n"/>
      <c r="E31" s="14" t="n"/>
      <c r="F31" s="14" t="n"/>
    </row>
    <row r="32">
      <c r="A32" s="13" t="n"/>
      <c r="B32" s="14" t="n"/>
      <c r="C32" s="15" t="n"/>
      <c r="D32" s="14" t="n"/>
      <c r="E32" s="14" t="n"/>
      <c r="F32" s="14" t="n"/>
    </row>
    <row r="33">
      <c r="A33" s="13" t="n"/>
      <c r="B33" s="14" t="n"/>
      <c r="C33" s="15" t="n"/>
      <c r="D33" s="14" t="n"/>
      <c r="E33" s="14" t="n"/>
      <c r="F33" s="14" t="n"/>
    </row>
    <row r="34">
      <c r="A34" s="13" t="n"/>
      <c r="B34" s="14" t="n"/>
      <c r="C34" s="15" t="n"/>
      <c r="D34" s="14" t="n"/>
      <c r="E34" s="14" t="n"/>
      <c r="F34" s="14" t="n"/>
    </row>
    <row r="35">
      <c r="A35" s="13" t="n"/>
      <c r="B35" s="14" t="n"/>
      <c r="C35" s="15" t="n"/>
      <c r="D35" s="14" t="n"/>
      <c r="E35" s="14" t="n"/>
      <c r="F35" s="14" t="n"/>
    </row>
    <row r="36">
      <c r="A36" s="13" t="n"/>
      <c r="B36" s="14" t="n"/>
      <c r="C36" s="15" t="n"/>
      <c r="D36" s="14" t="n"/>
      <c r="E36" s="14" t="n"/>
      <c r="F36" s="14" t="n"/>
    </row>
    <row r="37">
      <c r="A37" s="13" t="n"/>
      <c r="B37" s="14" t="n"/>
      <c r="C37" s="15" t="n"/>
      <c r="D37" s="14" t="n"/>
      <c r="E37" s="14" t="n"/>
      <c r="F37" s="14" t="n"/>
    </row>
    <row r="38">
      <c r="A38" s="13" t="n"/>
      <c r="B38" s="14" t="n"/>
      <c r="C38" s="15" t="n"/>
      <c r="D38" s="14" t="n"/>
      <c r="E38" s="14" t="n"/>
      <c r="F38" s="14" t="n"/>
    </row>
    <row r="39">
      <c r="A39" s="13" t="n"/>
      <c r="B39" s="14" t="n"/>
      <c r="C39" s="15" t="n"/>
      <c r="D39" s="14" t="n"/>
      <c r="E39" s="14" t="n"/>
      <c r="F39" s="14" t="n"/>
    </row>
    <row r="40">
      <c r="A40" s="13" t="n"/>
      <c r="B40" s="14" t="n"/>
      <c r="C40" s="15" t="n"/>
      <c r="D40" s="14" t="n"/>
      <c r="E40" s="14" t="n"/>
      <c r="F40" s="14" t="n"/>
    </row>
    <row r="41">
      <c r="A41" s="13" t="n"/>
      <c r="B41" s="14" t="n"/>
      <c r="C41" s="15" t="n"/>
      <c r="D41" s="14" t="n"/>
      <c r="E41" s="14" t="n"/>
      <c r="F41" s="14" t="n"/>
    </row>
    <row r="42">
      <c r="A42" s="13" t="n"/>
      <c r="B42" s="14" t="n"/>
      <c r="C42" s="15" t="n"/>
      <c r="D42" s="14" t="n"/>
      <c r="E42" s="14" t="n"/>
      <c r="F42" s="14" t="n"/>
    </row>
    <row r="43">
      <c r="A43" s="13" t="n"/>
      <c r="B43" s="14" t="n"/>
      <c r="C43" s="15" t="n"/>
      <c r="D43" s="14" t="n"/>
      <c r="E43" s="14" t="n"/>
      <c r="F43" s="14" t="n"/>
    </row>
    <row r="44">
      <c r="A44" s="13" t="n"/>
      <c r="B44" s="14" t="n"/>
      <c r="C44" s="15" t="n"/>
      <c r="D44" s="14" t="n"/>
      <c r="E44" s="14" t="n"/>
      <c r="F44" s="14" t="n"/>
    </row>
    <row r="45">
      <c r="A45" s="13" t="n"/>
      <c r="B45" s="14" t="n"/>
      <c r="C45" s="15" t="n"/>
      <c r="D45" s="14" t="n"/>
      <c r="E45" s="14" t="n"/>
      <c r="F45" s="14" t="n"/>
    </row>
    <row r="46">
      <c r="A46" s="13" t="n"/>
      <c r="B46" s="14" t="n"/>
      <c r="C46" s="15" t="n"/>
      <c r="D46" s="14" t="n"/>
      <c r="E46" s="14" t="n"/>
      <c r="F46" s="14" t="n"/>
    </row>
    <row r="47">
      <c r="A47" s="13" t="n"/>
      <c r="B47" s="14" t="n"/>
      <c r="C47" s="15" t="n"/>
      <c r="D47" s="14" t="n"/>
      <c r="E47" s="14" t="n"/>
      <c r="F47" s="14" t="n"/>
    </row>
    <row r="48">
      <c r="A48" s="13" t="n"/>
      <c r="B48" s="14" t="n"/>
      <c r="C48" s="15" t="n"/>
      <c r="D48" s="14" t="n"/>
      <c r="E48" s="14" t="n"/>
      <c r="F48" s="14" t="n"/>
    </row>
    <row r="49">
      <c r="A49" s="13" t="n"/>
      <c r="B49" s="14" t="n"/>
      <c r="C49" s="15" t="n"/>
      <c r="D49" s="14" t="n"/>
      <c r="E49" s="14" t="n"/>
      <c r="F49" s="14" t="n"/>
    </row>
    <row r="50">
      <c r="A50" s="13" t="n"/>
      <c r="B50" s="14" t="n"/>
      <c r="C50" s="15" t="n"/>
      <c r="D50" s="14" t="n"/>
      <c r="E50" s="14" t="n"/>
      <c r="F50" s="14" t="n"/>
    </row>
    <row r="51">
      <c r="A51" s="13" t="n"/>
      <c r="B51" s="14" t="n"/>
      <c r="C51" s="15" t="n"/>
      <c r="D51" s="14" t="n"/>
      <c r="E51" s="14" t="n"/>
      <c r="F51" s="14" t="n"/>
    </row>
    <row r="52">
      <c r="A52" s="13" t="n"/>
      <c r="B52" s="14" t="n"/>
      <c r="C52" s="15" t="n"/>
      <c r="D52" s="14" t="n"/>
      <c r="E52" s="14" t="n"/>
      <c r="F52" s="14" t="n"/>
    </row>
    <row r="53">
      <c r="A53" s="13" t="n"/>
      <c r="B53" s="14" t="n"/>
      <c r="C53" s="15" t="n"/>
      <c r="D53" s="14" t="n"/>
      <c r="E53" s="14" t="n"/>
      <c r="F53" s="14" t="n"/>
    </row>
    <row r="54">
      <c r="A54" s="13" t="n"/>
      <c r="B54" s="14" t="n"/>
      <c r="C54" s="15" t="n"/>
      <c r="D54" s="14" t="n"/>
      <c r="E54" s="14" t="n"/>
      <c r="F54" s="14" t="n"/>
    </row>
    <row r="55">
      <c r="A55" s="13" t="n"/>
      <c r="B55" s="14" t="n"/>
      <c r="C55" s="15" t="n"/>
      <c r="D55" s="14" t="n"/>
      <c r="E55" s="14" t="n"/>
      <c r="F55" s="14" t="n"/>
    </row>
    <row r="56">
      <c r="A56" s="13" t="n"/>
      <c r="B56" s="14" t="n"/>
      <c r="C56" s="15" t="n"/>
      <c r="D56" s="14" t="n"/>
      <c r="E56" s="14" t="n"/>
      <c r="F56" s="14" t="n"/>
    </row>
    <row r="57">
      <c r="A57" s="13" t="n"/>
      <c r="B57" s="14" t="n"/>
      <c r="C57" s="15" t="n"/>
      <c r="D57" s="14" t="n"/>
      <c r="E57" s="14" t="n"/>
      <c r="F57" s="14" t="n"/>
    </row>
    <row r="58">
      <c r="A58" s="13" t="n"/>
      <c r="B58" s="14" t="n"/>
      <c r="C58" s="15" t="n"/>
      <c r="D58" s="14" t="n"/>
      <c r="E58" s="14" t="n"/>
      <c r="F58" s="14" t="n"/>
    </row>
    <row r="59">
      <c r="A59" s="13" t="n"/>
      <c r="B59" s="14" t="n"/>
      <c r="C59" s="15" t="n"/>
      <c r="D59" s="14" t="n"/>
      <c r="E59" s="14" t="n"/>
      <c r="F59" s="14" t="n"/>
    </row>
    <row r="60">
      <c r="A60" s="13" t="n"/>
      <c r="B60" s="14" t="n"/>
      <c r="C60" s="15" t="n"/>
      <c r="D60" s="14" t="n"/>
      <c r="E60" s="14" t="n"/>
      <c r="F60" s="14" t="n"/>
    </row>
    <row r="61">
      <c r="A61" s="13" t="n"/>
      <c r="B61" s="14" t="n"/>
      <c r="C61" s="15" t="n"/>
      <c r="D61" s="14" t="n"/>
      <c r="E61" s="14" t="n"/>
      <c r="F61" s="14" t="n"/>
    </row>
    <row r="62">
      <c r="A62" s="13" t="n"/>
      <c r="B62" s="14" t="n"/>
      <c r="C62" s="15" t="n"/>
      <c r="D62" s="14" t="n"/>
      <c r="E62" s="14" t="n"/>
      <c r="F62" s="14" t="n"/>
    </row>
    <row r="63">
      <c r="A63" s="13" t="n"/>
      <c r="B63" s="14" t="n"/>
      <c r="C63" s="15" t="n"/>
      <c r="D63" s="14" t="n"/>
      <c r="E63" s="14" t="n"/>
      <c r="F63" s="14" t="n"/>
    </row>
    <row r="64">
      <c r="A64" s="13" t="n"/>
      <c r="B64" s="14" t="n"/>
      <c r="C64" s="15" t="n"/>
      <c r="D64" s="14" t="n"/>
      <c r="E64" s="14" t="n"/>
      <c r="F64" s="14" t="n"/>
    </row>
    <row r="65">
      <c r="A65" s="13" t="n"/>
      <c r="B65" s="14" t="n"/>
      <c r="C65" s="15" t="n"/>
      <c r="D65" s="14" t="n"/>
      <c r="E65" s="14" t="n"/>
      <c r="F65" s="14" t="n"/>
    </row>
    <row r="66">
      <c r="A66" s="13" t="n"/>
      <c r="B66" s="14" t="n"/>
      <c r="C66" s="15" t="n"/>
      <c r="D66" s="14" t="n"/>
      <c r="E66" s="14" t="n"/>
      <c r="F66" s="14" t="n"/>
    </row>
    <row r="67">
      <c r="A67" s="13" t="n"/>
      <c r="B67" s="14" t="n"/>
      <c r="C67" s="15" t="n"/>
      <c r="D67" s="14" t="n"/>
      <c r="E67" s="14" t="n"/>
      <c r="F67" s="14" t="n"/>
    </row>
    <row r="68">
      <c r="A68" s="13" t="n"/>
      <c r="B68" s="14" t="n"/>
      <c r="C68" s="15" t="n"/>
      <c r="D68" s="14" t="n"/>
      <c r="E68" s="14" t="n"/>
      <c r="F68" s="14" t="n"/>
    </row>
    <row r="69">
      <c r="A69" s="13" t="n"/>
      <c r="B69" s="14" t="n"/>
      <c r="C69" s="15" t="n"/>
      <c r="D69" s="14" t="n"/>
      <c r="E69" s="14" t="n"/>
      <c r="F69" s="14" t="n"/>
    </row>
    <row r="70">
      <c r="A70" s="13" t="n"/>
      <c r="B70" s="14" t="n"/>
      <c r="C70" s="15" t="n"/>
      <c r="D70" s="14" t="n"/>
      <c r="E70" s="14" t="n"/>
      <c r="F70" s="14" t="n"/>
    </row>
    <row r="71">
      <c r="A71" s="13" t="n"/>
      <c r="B71" s="14" t="n"/>
      <c r="C71" s="15" t="n"/>
      <c r="D71" s="14" t="n"/>
      <c r="E71" s="14" t="n"/>
      <c r="F71" s="14" t="n"/>
    </row>
    <row r="72">
      <c r="A72" s="13" t="n"/>
      <c r="B72" s="14" t="n"/>
      <c r="C72" s="15" t="n"/>
      <c r="D72" s="14" t="n"/>
      <c r="E72" s="14" t="n"/>
      <c r="F72" s="14" t="n"/>
    </row>
    <row r="73">
      <c r="A73" s="13" t="n"/>
      <c r="B73" s="14" t="n"/>
      <c r="C73" s="15" t="n"/>
      <c r="D73" s="14" t="n"/>
      <c r="E73" s="14" t="n"/>
      <c r="F73" s="14" t="n"/>
    </row>
    <row r="74">
      <c r="A74" s="13" t="n"/>
      <c r="B74" s="14" t="n"/>
      <c r="C74" s="15" t="n"/>
      <c r="D74" s="14" t="n"/>
      <c r="E74" s="14" t="n"/>
      <c r="F74" s="14" t="n"/>
    </row>
    <row r="75">
      <c r="A75" s="13" t="n"/>
      <c r="B75" s="14" t="n"/>
      <c r="C75" s="15" t="n"/>
      <c r="D75" s="14" t="n"/>
      <c r="E75" s="14" t="n"/>
      <c r="F75" s="14" t="n"/>
    </row>
    <row r="76">
      <c r="A76" s="13" t="n"/>
      <c r="B76" s="14" t="n"/>
      <c r="C76" s="15" t="n"/>
      <c r="D76" s="14" t="n"/>
      <c r="E76" s="14" t="n"/>
      <c r="F76" s="14" t="n"/>
    </row>
    <row r="77">
      <c r="A77" s="13" t="n"/>
      <c r="B77" s="14" t="n"/>
      <c r="C77" s="15" t="n"/>
      <c r="D77" s="14" t="n"/>
      <c r="E77" s="14" t="n"/>
      <c r="F77" s="14" t="n"/>
    </row>
    <row r="78">
      <c r="A78" s="13" t="n"/>
      <c r="B78" s="14" t="n"/>
      <c r="C78" s="15" t="n"/>
      <c r="D78" s="14" t="n"/>
      <c r="E78" s="14" t="n"/>
      <c r="F78" s="14" t="n"/>
    </row>
    <row r="79">
      <c r="A79" s="13" t="n"/>
      <c r="B79" s="14" t="n"/>
      <c r="C79" s="15" t="n"/>
      <c r="D79" s="14" t="n"/>
      <c r="E79" s="14" t="n"/>
      <c r="F79" s="14" t="n"/>
    </row>
    <row r="80">
      <c r="A80" s="13" t="n"/>
      <c r="B80" s="14" t="n"/>
      <c r="C80" s="15" t="n"/>
      <c r="D80" s="14" t="n"/>
      <c r="E80" s="14" t="n"/>
      <c r="F80" s="14" t="n"/>
    </row>
    <row r="81">
      <c r="A81" s="13" t="n"/>
      <c r="B81" s="14" t="n"/>
      <c r="C81" s="15" t="n"/>
      <c r="D81" s="14" t="n"/>
      <c r="E81" s="14" t="n"/>
      <c r="F81" s="14" t="n"/>
    </row>
    <row r="82">
      <c r="A82" s="13" t="n"/>
      <c r="B82" s="14" t="n"/>
      <c r="C82" s="15" t="n"/>
      <c r="D82" s="14" t="n"/>
      <c r="E82" s="14" t="n"/>
      <c r="F82" s="14" t="n"/>
    </row>
    <row r="83">
      <c r="A83" s="13" t="n"/>
      <c r="B83" s="14" t="n"/>
      <c r="C83" s="15" t="n"/>
      <c r="D83" s="14" t="n"/>
      <c r="E83" s="14" t="n"/>
      <c r="F83" s="14" t="n"/>
    </row>
    <row r="84">
      <c r="A84" s="13" t="n"/>
      <c r="B84" s="14" t="n"/>
      <c r="C84" s="15" t="n"/>
      <c r="D84" s="14" t="n"/>
      <c r="E84" s="14" t="n"/>
      <c r="F84" s="14" t="n"/>
    </row>
    <row r="85">
      <c r="A85" s="13" t="n"/>
      <c r="B85" s="14" t="n"/>
      <c r="C85" s="15" t="n"/>
      <c r="D85" s="14" t="n"/>
      <c r="E85" s="14" t="n"/>
      <c r="F85" s="14" t="n"/>
    </row>
    <row r="86">
      <c r="A86" s="13" t="n"/>
      <c r="B86" s="14" t="n"/>
      <c r="C86" s="15" t="n"/>
      <c r="D86" s="14" t="n"/>
      <c r="E86" s="14" t="n"/>
      <c r="F86" s="14" t="n"/>
    </row>
    <row r="87">
      <c r="A87" s="13" t="n"/>
      <c r="B87" s="14" t="n"/>
      <c r="C87" s="15" t="n"/>
      <c r="D87" s="14" t="n"/>
      <c r="E87" s="14" t="n"/>
      <c r="F87" s="14" t="n"/>
    </row>
    <row r="88">
      <c r="A88" s="13" t="n"/>
      <c r="B88" s="14" t="n"/>
      <c r="C88" s="15" t="n"/>
      <c r="D88" s="14" t="n"/>
      <c r="E88" s="14" t="n"/>
      <c r="F88" s="14" t="n"/>
    </row>
    <row r="89">
      <c r="A89" s="13" t="n"/>
      <c r="B89" s="14" t="n"/>
      <c r="C89" s="15" t="n"/>
      <c r="D89" s="14" t="n"/>
      <c r="E89" s="14" t="n"/>
      <c r="F89" s="14" t="n"/>
    </row>
    <row r="90">
      <c r="A90" s="13" t="n"/>
      <c r="B90" s="14" t="n"/>
      <c r="C90" s="15" t="n"/>
      <c r="D90" s="14" t="n"/>
      <c r="E90" s="14" t="n"/>
      <c r="F90" s="14" t="n"/>
    </row>
    <row r="91">
      <c r="A91" s="13" t="n"/>
      <c r="B91" s="14" t="n"/>
      <c r="C91" s="15" t="n"/>
      <c r="D91" s="14" t="n"/>
      <c r="E91" s="14" t="n"/>
      <c r="F91" s="14" t="n"/>
    </row>
    <row r="92">
      <c r="A92" s="13" t="n"/>
      <c r="B92" s="14" t="n"/>
      <c r="C92" s="15" t="n"/>
      <c r="D92" s="14" t="n"/>
      <c r="E92" s="14" t="n"/>
      <c r="F92" s="14" t="n"/>
    </row>
    <row r="93">
      <c r="A93" s="13" t="n"/>
      <c r="B93" s="14" t="n"/>
      <c r="C93" s="15" t="n"/>
      <c r="D93" s="14" t="n"/>
      <c r="E93" s="14" t="n"/>
      <c r="F93" s="14" t="n"/>
    </row>
    <row r="94">
      <c r="A94" s="13" t="n"/>
      <c r="B94" s="14" t="n"/>
      <c r="C94" s="15" t="n"/>
      <c r="D94" s="14" t="n"/>
      <c r="E94" s="14" t="n"/>
      <c r="F94" s="14" t="n"/>
    </row>
    <row r="95">
      <c r="A95" s="13" t="n"/>
      <c r="B95" s="14" t="n"/>
      <c r="C95" s="15" t="n"/>
      <c r="D95" s="14" t="n"/>
      <c r="E95" s="14" t="n"/>
      <c r="F95" s="14" t="n"/>
    </row>
    <row r="96">
      <c r="A96" s="13" t="n"/>
      <c r="B96" s="14" t="n"/>
      <c r="C96" s="15" t="n"/>
      <c r="D96" s="14" t="n"/>
      <c r="E96" s="14" t="n"/>
      <c r="F96" s="14" t="n"/>
    </row>
    <row r="97">
      <c r="A97" s="13" t="n"/>
      <c r="B97" s="14" t="n"/>
      <c r="C97" s="15" t="n"/>
      <c r="D97" s="14" t="n"/>
      <c r="E97" s="14" t="n"/>
      <c r="F97" s="14" t="n"/>
    </row>
    <row r="98">
      <c r="A98" s="13" t="n"/>
      <c r="B98" s="14" t="n"/>
      <c r="C98" s="15" t="n"/>
      <c r="D98" s="14" t="n"/>
      <c r="E98" s="14" t="n"/>
      <c r="F98" s="14" t="n"/>
    </row>
    <row r="99">
      <c r="A99" s="13" t="n"/>
      <c r="B99" s="14" t="n"/>
      <c r="C99" s="15" t="n"/>
      <c r="D99" s="14" t="n"/>
      <c r="E99" s="14" t="n"/>
      <c r="F99" s="14" t="n"/>
    </row>
    <row r="100">
      <c r="A100" s="13" t="n"/>
      <c r="B100" s="14" t="n"/>
      <c r="C100" s="15" t="n"/>
      <c r="D100" s="14" t="n"/>
      <c r="E100" s="14" t="n"/>
      <c r="F100" s="14" t="n"/>
    </row>
    <row r="101">
      <c r="A101" s="13" t="n"/>
      <c r="B101" s="14" t="n"/>
      <c r="C101" s="15" t="n"/>
      <c r="D101" s="14" t="n"/>
      <c r="E101" s="14" t="n"/>
      <c r="F101" s="14" t="n"/>
    </row>
    <row r="102">
      <c r="A102" s="13" t="n"/>
      <c r="B102" s="14" t="n"/>
      <c r="C102" s="15" t="n"/>
      <c r="D102" s="14" t="n"/>
      <c r="E102" s="14" t="n"/>
      <c r="F102" s="14" t="n"/>
    </row>
    <row r="103">
      <c r="A103" s="13" t="n"/>
      <c r="B103" s="14" t="n"/>
      <c r="C103" s="15" t="n"/>
      <c r="D103" s="14" t="n"/>
      <c r="E103" s="14" t="n"/>
      <c r="F103" s="14" t="n"/>
    </row>
    <row r="104">
      <c r="A104" s="13" t="n"/>
      <c r="B104" s="14" t="n"/>
      <c r="C104" s="15" t="n"/>
      <c r="D104" s="14" t="n"/>
      <c r="E104" s="14" t="n"/>
      <c r="F104" s="14" t="n"/>
    </row>
    <row r="105">
      <c r="A105" s="13" t="n"/>
      <c r="B105" s="14" t="n"/>
      <c r="C105" s="15" t="n"/>
      <c r="D105" s="14" t="n"/>
      <c r="E105" s="14" t="n"/>
      <c r="F105" s="14" t="n"/>
    </row>
    <row r="106">
      <c r="A106" s="13" t="n"/>
      <c r="B106" s="14" t="n"/>
      <c r="C106" s="15" t="n"/>
      <c r="D106" s="14" t="n"/>
      <c r="E106" s="14" t="n"/>
      <c r="F106" s="14" t="n"/>
    </row>
    <row r="107">
      <c r="A107" s="13" t="n"/>
      <c r="B107" s="14" t="n"/>
      <c r="C107" s="15" t="n"/>
      <c r="D107" s="14" t="n"/>
      <c r="E107" s="14" t="n"/>
      <c r="F107" s="14" t="n"/>
    </row>
    <row r="108">
      <c r="A108" s="13" t="n"/>
      <c r="B108" s="14" t="n"/>
      <c r="C108" s="15" t="n"/>
      <c r="D108" s="14" t="n"/>
      <c r="E108" s="14" t="n"/>
      <c r="F108" s="14" t="n"/>
    </row>
    <row r="109">
      <c r="A109" s="13" t="n"/>
      <c r="B109" s="14" t="n"/>
      <c r="C109" s="15" t="n"/>
      <c r="D109" s="14" t="n"/>
      <c r="E109" s="14" t="n"/>
      <c r="F109" s="14" t="n"/>
    </row>
    <row r="110">
      <c r="A110" s="13" t="n"/>
      <c r="B110" s="14" t="n"/>
      <c r="C110" s="15" t="n"/>
      <c r="D110" s="14" t="n"/>
      <c r="E110" s="14" t="n"/>
      <c r="F110" s="14" t="n"/>
    </row>
    <row r="111">
      <c r="A111" s="13" t="n"/>
      <c r="B111" s="14" t="n"/>
      <c r="C111" s="15" t="n"/>
      <c r="D111" s="14" t="n"/>
      <c r="E111" s="14" t="n"/>
      <c r="F111" s="14" t="n"/>
    </row>
    <row r="112">
      <c r="A112" s="13" t="n"/>
      <c r="B112" s="14" t="n"/>
      <c r="C112" s="15" t="n"/>
      <c r="D112" s="14" t="n"/>
      <c r="E112" s="14" t="n"/>
      <c r="F112" s="14" t="n"/>
    </row>
    <row r="113">
      <c r="A113" s="13" t="n"/>
      <c r="B113" s="14" t="n"/>
      <c r="C113" s="15" t="n"/>
      <c r="D113" s="14" t="n"/>
      <c r="E113" s="14" t="n"/>
      <c r="F113" s="14" t="n"/>
    </row>
    <row r="114">
      <c r="A114" s="13" t="n"/>
      <c r="B114" s="14" t="n"/>
      <c r="C114" s="15" t="n"/>
      <c r="D114" s="14" t="n"/>
      <c r="E114" s="14" t="n"/>
      <c r="F114" s="14" t="n"/>
    </row>
    <row r="115">
      <c r="A115" s="13" t="n"/>
      <c r="B115" s="14" t="n"/>
      <c r="C115" s="15" t="n"/>
      <c r="D115" s="14" t="n"/>
      <c r="E115" s="14" t="n"/>
      <c r="F115" s="14" t="n"/>
    </row>
    <row r="116">
      <c r="A116" s="13" t="n"/>
      <c r="B116" s="14" t="n"/>
      <c r="C116" s="15" t="n"/>
      <c r="D116" s="14" t="n"/>
      <c r="E116" s="14" t="n"/>
      <c r="F116" s="14" t="n"/>
    </row>
    <row r="117">
      <c r="A117" s="13" t="n"/>
      <c r="B117" s="14" t="n"/>
      <c r="C117" s="15" t="n"/>
      <c r="D117" s="14" t="n"/>
      <c r="E117" s="14" t="n"/>
      <c r="F117" s="14" t="n"/>
    </row>
    <row r="118">
      <c r="A118" s="13" t="n"/>
      <c r="B118" s="14" t="n"/>
      <c r="C118" s="15" t="n"/>
      <c r="D118" s="14" t="n"/>
      <c r="E118" s="14" t="n"/>
      <c r="F118" s="14" t="n"/>
    </row>
    <row r="119">
      <c r="A119" s="13" t="n"/>
      <c r="B119" s="14" t="n"/>
      <c r="C119" s="15" t="n"/>
      <c r="D119" s="14" t="n"/>
      <c r="E119" s="14" t="n"/>
      <c r="F119" s="14" t="n"/>
    </row>
    <row r="120">
      <c r="A120" s="13" t="n"/>
      <c r="B120" s="14" t="n"/>
      <c r="C120" s="15" t="n"/>
      <c r="D120" s="14" t="n"/>
      <c r="E120" s="14" t="n"/>
      <c r="F120" s="14" t="n"/>
    </row>
    <row r="121">
      <c r="A121" s="13" t="n"/>
      <c r="B121" s="14" t="n"/>
      <c r="C121" s="15" t="n"/>
      <c r="D121" s="14" t="n"/>
      <c r="E121" s="14" t="n"/>
      <c r="F121" s="14" t="n"/>
    </row>
    <row r="122">
      <c r="A122" s="13" t="n"/>
      <c r="B122" s="14" t="n"/>
      <c r="C122" s="15" t="n"/>
      <c r="D122" s="14" t="n"/>
      <c r="E122" s="14" t="n"/>
      <c r="F122" s="14" t="n"/>
    </row>
    <row r="123">
      <c r="A123" s="13" t="n"/>
      <c r="B123" s="14" t="n"/>
      <c r="C123" s="15" t="n"/>
      <c r="D123" s="14" t="n"/>
      <c r="E123" s="14" t="n"/>
      <c r="F123" s="14" t="n"/>
    </row>
    <row r="124">
      <c r="A124" s="13" t="n"/>
      <c r="B124" s="14" t="n"/>
      <c r="C124" s="15" t="n"/>
      <c r="D124" s="14" t="n"/>
      <c r="E124" s="14" t="n"/>
      <c r="F124" s="14" t="n"/>
    </row>
    <row r="125">
      <c r="A125" s="13" t="n"/>
      <c r="B125" s="14" t="n"/>
      <c r="C125" s="15" t="n"/>
      <c r="D125" s="14" t="n"/>
      <c r="E125" s="14" t="n"/>
      <c r="F125" s="14" t="n"/>
    </row>
    <row r="126">
      <c r="A126" s="13" t="n"/>
      <c r="B126" s="14" t="n"/>
      <c r="C126" s="15" t="n"/>
      <c r="D126" s="14" t="n"/>
      <c r="E126" s="14" t="n"/>
      <c r="F126" s="14" t="n"/>
    </row>
    <row r="127">
      <c r="A127" s="13" t="n"/>
      <c r="B127" s="14" t="n"/>
      <c r="C127" s="15" t="n"/>
      <c r="D127" s="14" t="n"/>
      <c r="E127" s="14" t="n"/>
      <c r="F127" s="14" t="n"/>
    </row>
    <row r="128">
      <c r="A128" s="13" t="n"/>
      <c r="B128" s="14" t="n"/>
      <c r="C128" s="15" t="n"/>
      <c r="D128" s="14" t="n"/>
      <c r="E128" s="14" t="n"/>
      <c r="F128" s="14" t="n"/>
    </row>
    <row r="129">
      <c r="A129" s="13" t="n"/>
      <c r="B129" s="14" t="n"/>
      <c r="C129" s="15" t="n"/>
      <c r="D129" s="14" t="n"/>
      <c r="E129" s="14" t="n"/>
      <c r="F129" s="14" t="n"/>
    </row>
    <row r="130">
      <c r="A130" s="13" t="n"/>
      <c r="B130" s="14" t="n"/>
      <c r="C130" s="15" t="n"/>
      <c r="D130" s="14" t="n"/>
      <c r="E130" s="14" t="n"/>
      <c r="F130" s="14" t="n"/>
    </row>
    <row r="131">
      <c r="A131" s="13" t="n"/>
      <c r="B131" s="14" t="n"/>
      <c r="C131" s="15" t="n"/>
      <c r="D131" s="14" t="n"/>
      <c r="E131" s="14" t="n"/>
      <c r="F131" s="14" t="n"/>
    </row>
    <row r="132">
      <c r="A132" s="13" t="n"/>
      <c r="B132" s="14" t="n"/>
      <c r="C132" s="15" t="n"/>
      <c r="D132" s="14" t="n"/>
      <c r="E132" s="14" t="n"/>
      <c r="F132" s="14" t="n"/>
    </row>
    <row r="133">
      <c r="A133" s="13" t="n"/>
      <c r="B133" s="14" t="n"/>
      <c r="C133" s="15" t="n"/>
      <c r="D133" s="14" t="n"/>
      <c r="E133" s="14" t="n"/>
      <c r="F133" s="14" t="n"/>
    </row>
    <row r="134">
      <c r="A134" s="13" t="n"/>
      <c r="B134" s="14" t="n"/>
      <c r="C134" s="15" t="n"/>
      <c r="D134" s="14" t="n"/>
      <c r="E134" s="14" t="n"/>
      <c r="F134" s="14" t="n"/>
    </row>
    <row r="135">
      <c r="A135" s="13" t="n"/>
      <c r="B135" s="14" t="n"/>
      <c r="C135" s="15" t="n"/>
      <c r="D135" s="14" t="n"/>
      <c r="E135" s="14" t="n"/>
      <c r="F135" s="14" t="n"/>
    </row>
    <row r="136">
      <c r="A136" s="13" t="n"/>
      <c r="B136" s="14" t="n"/>
      <c r="C136" s="15" t="n"/>
      <c r="D136" s="14" t="n"/>
      <c r="E136" s="14" t="n"/>
      <c r="F136" s="14" t="n"/>
    </row>
    <row r="137">
      <c r="A137" s="13" t="n"/>
      <c r="B137" s="14" t="n"/>
      <c r="C137" s="15" t="n"/>
      <c r="D137" s="14" t="n"/>
      <c r="E137" s="14" t="n"/>
      <c r="F137" s="14" t="n"/>
    </row>
    <row r="138">
      <c r="A138" s="13" t="n"/>
      <c r="B138" s="14" t="n"/>
      <c r="C138" s="15" t="n"/>
      <c r="D138" s="14" t="n"/>
      <c r="E138" s="14" t="n"/>
      <c r="F138" s="14" t="n"/>
    </row>
    <row r="139">
      <c r="A139" s="13" t="n"/>
      <c r="B139" s="14" t="n"/>
      <c r="C139" s="15" t="n"/>
      <c r="D139" s="14" t="n"/>
      <c r="E139" s="14" t="n"/>
      <c r="F139" s="14" t="n"/>
    </row>
    <row r="140">
      <c r="A140" s="13" t="n"/>
      <c r="B140" s="14" t="n"/>
      <c r="C140" s="15" t="n"/>
      <c r="D140" s="14" t="n"/>
      <c r="E140" s="14" t="n"/>
      <c r="F140" s="14" t="n"/>
    </row>
    <row r="141">
      <c r="A141" s="13" t="n"/>
      <c r="B141" s="14" t="n"/>
      <c r="C141" s="15" t="n"/>
      <c r="D141" s="14" t="n"/>
      <c r="E141" s="14" t="n"/>
      <c r="F141" s="14" t="n"/>
    </row>
    <row r="142">
      <c r="A142" s="13" t="n"/>
      <c r="B142" s="14" t="n"/>
      <c r="C142" s="15" t="n"/>
      <c r="D142" s="14" t="n"/>
      <c r="E142" s="14" t="n"/>
      <c r="F142" s="14" t="n"/>
    </row>
    <row r="143">
      <c r="A143" s="13" t="n"/>
      <c r="B143" s="14" t="n"/>
      <c r="C143" s="15" t="n"/>
      <c r="D143" s="14" t="n"/>
      <c r="E143" s="14" t="n"/>
      <c r="F143" s="14" t="n"/>
    </row>
    <row r="144">
      <c r="A144" s="13" t="n"/>
      <c r="B144" s="14" t="n"/>
      <c r="C144" s="15" t="n"/>
      <c r="D144" s="14" t="n"/>
      <c r="E144" s="14" t="n"/>
      <c r="F144" s="14" t="n"/>
    </row>
    <row r="145">
      <c r="A145" s="13" t="n"/>
      <c r="B145" s="14" t="n"/>
      <c r="C145" s="15" t="n"/>
      <c r="D145" s="14" t="n"/>
      <c r="E145" s="14" t="n"/>
      <c r="F145" s="14" t="n"/>
    </row>
    <row r="146">
      <c r="A146" s="13" t="n"/>
      <c r="B146" s="14" t="n"/>
      <c r="C146" s="15" t="n"/>
      <c r="D146" s="14" t="n"/>
      <c r="E146" s="14" t="n"/>
      <c r="F146" s="14" t="n"/>
    </row>
    <row r="147">
      <c r="A147" s="13" t="n"/>
      <c r="B147" s="14" t="n"/>
      <c r="C147" s="15" t="n"/>
      <c r="D147" s="14" t="n"/>
      <c r="E147" s="14" t="n"/>
      <c r="F147" s="14" t="n"/>
    </row>
    <row r="148">
      <c r="A148" s="13" t="n"/>
      <c r="B148" s="14" t="n"/>
      <c r="C148" s="15" t="n"/>
      <c r="D148" s="14" t="n"/>
      <c r="E148" s="14" t="n"/>
      <c r="F148" s="14" t="n"/>
    </row>
    <row r="149">
      <c r="A149" s="13" t="n"/>
      <c r="B149" s="14" t="n"/>
      <c r="C149" s="15" t="n"/>
      <c r="D149" s="14" t="n"/>
      <c r="E149" s="14" t="n"/>
      <c r="F149" s="14" t="n"/>
    </row>
    <row r="150">
      <c r="A150" s="13" t="n"/>
      <c r="B150" s="14" t="n"/>
      <c r="C150" s="15" t="n"/>
      <c r="D150" s="14" t="n"/>
      <c r="E150" s="14" t="n"/>
      <c r="F150" s="14" t="n"/>
    </row>
    <row r="151">
      <c r="A151" s="13" t="n"/>
      <c r="B151" s="14" t="n"/>
      <c r="C151" s="15" t="n"/>
      <c r="D151" s="14" t="n"/>
      <c r="E151" s="14" t="n"/>
      <c r="F151" s="14" t="n"/>
    </row>
    <row r="152">
      <c r="A152" s="13" t="n"/>
      <c r="B152" s="14" t="n"/>
      <c r="C152" s="15" t="n"/>
      <c r="D152" s="14" t="n"/>
      <c r="E152" s="14" t="n"/>
      <c r="F152" s="14" t="n"/>
    </row>
    <row r="153">
      <c r="A153" s="13" t="n"/>
      <c r="B153" s="14" t="n"/>
      <c r="C153" s="15" t="n"/>
      <c r="D153" s="14" t="n"/>
      <c r="E153" s="14" t="n"/>
      <c r="F153" s="14" t="n"/>
    </row>
    <row r="154">
      <c r="A154" s="13" t="n"/>
      <c r="B154" s="14" t="n"/>
      <c r="C154" s="15" t="n"/>
      <c r="D154" s="14" t="n"/>
      <c r="E154" s="14" t="n"/>
      <c r="F154" s="14" t="n"/>
    </row>
    <row r="155">
      <c r="A155" s="13" t="n"/>
      <c r="B155" s="14" t="n"/>
      <c r="C155" s="15" t="n"/>
      <c r="D155" s="14" t="n"/>
      <c r="E155" s="14" t="n"/>
      <c r="F155" s="14" t="n"/>
    </row>
    <row r="156">
      <c r="A156" s="13" t="n"/>
      <c r="B156" s="14" t="n"/>
      <c r="C156" s="15" t="n"/>
      <c r="D156" s="14" t="n"/>
      <c r="E156" s="14" t="n"/>
      <c r="F156" s="14" t="n"/>
    </row>
    <row r="157">
      <c r="A157" s="13" t="n"/>
      <c r="B157" s="14" t="n"/>
      <c r="C157" s="15" t="n"/>
      <c r="D157" s="14" t="n"/>
      <c r="E157" s="14" t="n"/>
      <c r="F157" s="14" t="n"/>
    </row>
    <row r="158">
      <c r="A158" s="13" t="n"/>
      <c r="B158" s="14" t="n"/>
      <c r="C158" s="15" t="n"/>
      <c r="D158" s="14" t="n"/>
      <c r="E158" s="14" t="n"/>
      <c r="F158" s="14" t="n"/>
    </row>
    <row r="159">
      <c r="A159" s="13" t="n"/>
      <c r="B159" s="14" t="n"/>
      <c r="C159" s="15" t="n"/>
      <c r="D159" s="14" t="n"/>
      <c r="E159" s="14" t="n"/>
      <c r="F159" s="14" t="n"/>
    </row>
    <row r="160">
      <c r="A160" s="13" t="n"/>
      <c r="B160" s="14" t="n"/>
      <c r="C160" s="15" t="n"/>
      <c r="D160" s="14" t="n"/>
      <c r="E160" s="14" t="n"/>
      <c r="F160" s="14" t="n"/>
    </row>
    <row r="161">
      <c r="A161" s="13" t="n"/>
      <c r="B161" s="14" t="n"/>
      <c r="C161" s="15" t="n"/>
      <c r="D161" s="14" t="n"/>
      <c r="E161" s="14" t="n"/>
      <c r="F161" s="14" t="n"/>
    </row>
    <row r="162">
      <c r="A162" s="13" t="n"/>
      <c r="B162" s="14" t="n"/>
      <c r="C162" s="15" t="n"/>
      <c r="D162" s="14" t="n"/>
      <c r="E162" s="14" t="n"/>
      <c r="F162" s="14" t="n"/>
    </row>
    <row r="163">
      <c r="A163" s="13" t="n"/>
      <c r="B163" s="14" t="n"/>
      <c r="C163" s="15" t="n"/>
      <c r="D163" s="14" t="n"/>
      <c r="E163" s="14" t="n"/>
      <c r="F163" s="14" t="n"/>
    </row>
    <row r="164">
      <c r="A164" s="13" t="n"/>
      <c r="B164" s="14" t="n"/>
      <c r="C164" s="15" t="n"/>
      <c r="D164" s="14" t="n"/>
      <c r="E164" s="14" t="n"/>
      <c r="F164" s="14" t="n"/>
    </row>
    <row r="165">
      <c r="A165" s="13" t="n"/>
      <c r="B165" s="14" t="n"/>
      <c r="C165" s="15" t="n"/>
      <c r="D165" s="14" t="n"/>
      <c r="E165" s="14" t="n"/>
      <c r="F165" s="14" t="n"/>
    </row>
    <row r="166">
      <c r="A166" s="13" t="n"/>
      <c r="B166" s="14" t="n"/>
      <c r="C166" s="15" t="n"/>
      <c r="D166" s="14" t="n"/>
      <c r="E166" s="14" t="n"/>
      <c r="F166" s="14" t="n"/>
    </row>
    <row r="167">
      <c r="A167" s="13" t="n"/>
      <c r="B167" s="14" t="n"/>
      <c r="C167" s="15" t="n"/>
      <c r="D167" s="14" t="n"/>
      <c r="E167" s="14" t="n"/>
      <c r="F167" s="14" t="n"/>
    </row>
    <row r="168">
      <c r="A168" s="13" t="n"/>
      <c r="B168" s="14" t="n"/>
      <c r="C168" s="15" t="n"/>
      <c r="D168" s="14" t="n"/>
      <c r="E168" s="14" t="n"/>
      <c r="F168" s="14" t="n"/>
    </row>
    <row r="169">
      <c r="A169" s="13" t="n"/>
      <c r="B169" s="14" t="n"/>
      <c r="C169" s="15" t="n"/>
      <c r="D169" s="14" t="n"/>
      <c r="E169" s="14" t="n"/>
      <c r="F169" s="14" t="n"/>
    </row>
    <row r="170">
      <c r="A170" s="13" t="n"/>
      <c r="B170" s="14" t="n"/>
      <c r="C170" s="15" t="n"/>
      <c r="D170" s="14" t="n"/>
      <c r="E170" s="14" t="n"/>
      <c r="F170" s="14" t="n"/>
    </row>
    <row r="171">
      <c r="A171" s="13" t="n"/>
      <c r="B171" s="14" t="n"/>
      <c r="C171" s="15" t="n"/>
      <c r="D171" s="14" t="n"/>
      <c r="E171" s="14" t="n"/>
      <c r="F171" s="14" t="n"/>
    </row>
    <row r="172">
      <c r="A172" s="13" t="n"/>
      <c r="B172" s="14" t="n"/>
      <c r="C172" s="15" t="n"/>
      <c r="D172" s="14" t="n"/>
      <c r="E172" s="14" t="n"/>
      <c r="F172" s="14" t="n"/>
    </row>
    <row r="173">
      <c r="A173" s="13" t="n"/>
      <c r="B173" s="14" t="n"/>
      <c r="C173" s="15" t="n"/>
      <c r="D173" s="14" t="n"/>
      <c r="E173" s="14" t="n"/>
      <c r="F173" s="14" t="n"/>
    </row>
    <row r="174">
      <c r="A174" s="13" t="n"/>
      <c r="B174" s="14" t="n"/>
      <c r="C174" s="15" t="n"/>
      <c r="D174" s="14" t="n"/>
      <c r="E174" s="14" t="n"/>
      <c r="F174" s="14" t="n"/>
    </row>
    <row r="175">
      <c r="A175" s="13" t="n"/>
      <c r="B175" s="14" t="n"/>
      <c r="C175" s="15" t="n"/>
      <c r="D175" s="14" t="n"/>
      <c r="E175" s="14" t="n"/>
      <c r="F175" s="14" t="n"/>
    </row>
    <row r="176">
      <c r="A176" s="13" t="n"/>
      <c r="B176" s="14" t="n"/>
      <c r="C176" s="15" t="n"/>
      <c r="D176" s="14" t="n"/>
      <c r="E176" s="14" t="n"/>
      <c r="F176" s="14" t="n"/>
    </row>
    <row r="177">
      <c r="A177" s="13" t="n"/>
      <c r="B177" s="14" t="n"/>
      <c r="C177" s="15" t="n"/>
      <c r="D177" s="14" t="n"/>
      <c r="E177" s="14" t="n"/>
      <c r="F177" s="14" t="n"/>
    </row>
    <row r="178">
      <c r="A178" s="13" t="n"/>
      <c r="B178" s="14" t="n"/>
      <c r="C178" s="15" t="n"/>
      <c r="D178" s="14" t="n"/>
      <c r="E178" s="14" t="n"/>
      <c r="F178" s="14" t="n"/>
    </row>
    <row r="179">
      <c r="A179" s="13" t="n"/>
      <c r="B179" s="14" t="n"/>
      <c r="C179" s="15" t="n"/>
      <c r="D179" s="14" t="n"/>
      <c r="E179" s="14" t="n"/>
      <c r="F179" s="14" t="n"/>
    </row>
    <row r="180">
      <c r="A180" s="13" t="n"/>
      <c r="B180" s="14" t="n"/>
      <c r="C180" s="15" t="n"/>
      <c r="D180" s="14" t="n"/>
      <c r="E180" s="14" t="n"/>
      <c r="F180" s="14" t="n"/>
    </row>
    <row r="181">
      <c r="A181" s="13" t="n"/>
      <c r="B181" s="14" t="n"/>
      <c r="C181" s="15" t="n"/>
      <c r="D181" s="14" t="n"/>
      <c r="E181" s="14" t="n"/>
      <c r="F181" s="14" t="n"/>
    </row>
    <row r="182">
      <c r="A182" s="13" t="n"/>
      <c r="B182" s="14" t="n"/>
      <c r="C182" s="15" t="n"/>
      <c r="D182" s="14" t="n"/>
      <c r="E182" s="14" t="n"/>
      <c r="F182" s="14" t="n"/>
    </row>
    <row r="183">
      <c r="A183" s="13" t="n"/>
      <c r="B183" s="14" t="n"/>
      <c r="C183" s="15" t="n"/>
      <c r="D183" s="14" t="n"/>
      <c r="E183" s="14" t="n"/>
      <c r="F183" s="14" t="n"/>
    </row>
    <row r="184">
      <c r="A184" s="13" t="n"/>
      <c r="B184" s="14" t="n"/>
      <c r="C184" s="15" t="n"/>
      <c r="D184" s="14" t="n"/>
      <c r="E184" s="14" t="n"/>
      <c r="F184" s="14" t="n"/>
    </row>
    <row r="185">
      <c r="A185" s="13" t="n"/>
      <c r="B185" s="14" t="n"/>
      <c r="C185" s="15" t="n"/>
      <c r="D185" s="14" t="n"/>
      <c r="E185" s="14" t="n"/>
      <c r="F185" s="14" t="n"/>
    </row>
    <row r="186">
      <c r="A186" s="13" t="n"/>
      <c r="B186" s="14" t="n"/>
      <c r="C186" s="15" t="n"/>
      <c r="D186" s="14" t="n"/>
      <c r="E186" s="14" t="n"/>
      <c r="F186" s="14" t="n"/>
    </row>
    <row r="187">
      <c r="A187" s="13" t="n"/>
      <c r="B187" s="14" t="n"/>
      <c r="C187" s="15" t="n"/>
      <c r="D187" s="14" t="n"/>
      <c r="E187" s="14" t="n"/>
      <c r="F187" s="14" t="n"/>
    </row>
    <row r="188">
      <c r="A188" s="13" t="n"/>
      <c r="B188" s="14" t="n"/>
      <c r="C188" s="15" t="n"/>
      <c r="D188" s="14" t="n"/>
      <c r="E188" s="14" t="n"/>
      <c r="F188" s="14" t="n"/>
    </row>
    <row r="189">
      <c r="A189" s="13" t="n"/>
      <c r="B189" s="14" t="n"/>
      <c r="C189" s="15" t="n"/>
      <c r="D189" s="14" t="n"/>
      <c r="E189" s="14" t="n"/>
      <c r="F189" s="14" t="n"/>
    </row>
    <row r="190">
      <c r="A190" s="13" t="n"/>
      <c r="B190" s="14" t="n"/>
      <c r="C190" s="15" t="n"/>
      <c r="D190" s="14" t="n"/>
      <c r="E190" s="14" t="n"/>
      <c r="F190" s="14" t="n"/>
    </row>
    <row r="191">
      <c r="A191" s="13" t="n"/>
      <c r="B191" s="14" t="n"/>
      <c r="C191" s="15" t="n"/>
      <c r="D191" s="14" t="n"/>
      <c r="E191" s="14" t="n"/>
      <c r="F191" s="14" t="n"/>
    </row>
    <row r="192">
      <c r="A192" s="13" t="n"/>
      <c r="B192" s="14" t="n"/>
      <c r="C192" s="15" t="n"/>
      <c r="D192" s="14" t="n"/>
      <c r="E192" s="14" t="n"/>
      <c r="F192" s="14" t="n"/>
    </row>
    <row r="193">
      <c r="A193" s="13" t="n"/>
      <c r="B193" s="14" t="n"/>
      <c r="C193" s="15" t="n"/>
      <c r="D193" s="14" t="n"/>
      <c r="E193" s="14" t="n"/>
      <c r="F193" s="14" t="n"/>
    </row>
    <row r="194">
      <c r="A194" s="13" t="n"/>
      <c r="B194" s="14" t="n"/>
      <c r="C194" s="15" t="n"/>
      <c r="D194" s="14" t="n"/>
      <c r="E194" s="14" t="n"/>
      <c r="F194" s="14" t="n"/>
    </row>
    <row r="195">
      <c r="A195" s="13" t="n"/>
      <c r="B195" s="14" t="n"/>
      <c r="C195" s="15" t="n"/>
      <c r="D195" s="14" t="n"/>
      <c r="E195" s="14" t="n"/>
      <c r="F195" s="14" t="n"/>
    </row>
    <row r="196">
      <c r="A196" s="13" t="n"/>
      <c r="B196" s="14" t="n"/>
      <c r="C196" s="15" t="n"/>
      <c r="D196" s="14" t="n"/>
      <c r="E196" s="14" t="n"/>
      <c r="F196" s="14" t="n"/>
    </row>
    <row r="197">
      <c r="A197" s="13" t="n"/>
      <c r="B197" s="14" t="n"/>
      <c r="C197" s="15" t="n"/>
      <c r="D197" s="14" t="n"/>
      <c r="E197" s="14" t="n"/>
      <c r="F197" s="14" t="n"/>
    </row>
    <row r="198">
      <c r="A198" s="13" t="n"/>
      <c r="B198" s="14" t="n"/>
      <c r="C198" s="15" t="n"/>
      <c r="D198" s="14" t="n"/>
      <c r="E198" s="14" t="n"/>
      <c r="F198" s="14" t="n"/>
    </row>
    <row r="199">
      <c r="A199" s="13" t="n"/>
      <c r="B199" s="14" t="n"/>
      <c r="C199" s="15" t="n"/>
      <c r="D199" s="14" t="n"/>
      <c r="E199" s="14" t="n"/>
      <c r="F199" s="14" t="n"/>
    </row>
    <row r="200">
      <c r="A200" s="13" t="n"/>
      <c r="B200" s="14" t="n"/>
      <c r="C200" s="15" t="n"/>
      <c r="D200" s="14" t="n"/>
      <c r="E200" s="14" t="n"/>
      <c r="F200" s="14" t="n"/>
    </row>
    <row r="201">
      <c r="A201" s="13" t="n"/>
      <c r="B201" s="14" t="n"/>
      <c r="C201" s="15" t="n"/>
      <c r="D201" s="14" t="n"/>
      <c r="E201" s="14" t="n"/>
      <c r="F201" s="14" t="n"/>
    </row>
    <row r="202">
      <c r="A202" s="13" t="n"/>
      <c r="B202" s="14" t="n"/>
      <c r="C202" s="15" t="n"/>
      <c r="D202" s="14" t="n"/>
      <c r="E202" s="14" t="n"/>
      <c r="F202" s="14" t="n"/>
    </row>
    <row r="203">
      <c r="A203" s="13" t="n"/>
      <c r="B203" s="14" t="n"/>
      <c r="C203" s="15" t="n"/>
      <c r="D203" s="14" t="n"/>
      <c r="E203" s="14" t="n"/>
      <c r="F203" s="14" t="n"/>
    </row>
    <row r="204">
      <c r="A204" s="13" t="n"/>
      <c r="B204" s="14" t="n"/>
      <c r="C204" s="15" t="n"/>
      <c r="D204" s="14" t="n"/>
      <c r="E204" s="14" t="n"/>
      <c r="F204" s="14" t="n"/>
    </row>
    <row r="205">
      <c r="A205" s="13" t="n"/>
      <c r="B205" s="14" t="n"/>
      <c r="C205" s="15" t="n"/>
      <c r="D205" s="14" t="n"/>
      <c r="E205" s="14" t="n"/>
      <c r="F205" s="14" t="n"/>
    </row>
    <row r="206">
      <c r="A206" s="13" t="n"/>
      <c r="B206" s="14" t="n"/>
      <c r="C206" s="15" t="n"/>
      <c r="D206" s="14" t="n"/>
      <c r="E206" s="14" t="n"/>
      <c r="F206" s="14" t="n"/>
    </row>
    <row r="207">
      <c r="A207" s="13" t="n"/>
      <c r="B207" s="14" t="n"/>
      <c r="C207" s="15" t="n"/>
      <c r="D207" s="14" t="n"/>
      <c r="E207" s="14" t="n"/>
      <c r="F207" s="14" t="n"/>
    </row>
    <row r="208">
      <c r="A208" s="13" t="n"/>
      <c r="B208" s="14" t="n"/>
      <c r="C208" s="15" t="n"/>
      <c r="D208" s="14" t="n"/>
      <c r="E208" s="14" t="n"/>
      <c r="F208" s="14" t="n"/>
    </row>
    <row r="209">
      <c r="A209" s="13" t="n"/>
      <c r="B209" s="14" t="n"/>
      <c r="C209" s="15" t="n"/>
      <c r="D209" s="14" t="n"/>
      <c r="E209" s="14" t="n"/>
      <c r="F209" s="14" t="n"/>
    </row>
    <row r="210">
      <c r="A210" s="13" t="n"/>
      <c r="B210" s="14" t="n"/>
      <c r="C210" s="15" t="n"/>
      <c r="D210" s="14" t="n"/>
      <c r="E210" s="14" t="n"/>
      <c r="F210" s="14" t="n"/>
    </row>
    <row r="211">
      <c r="A211" s="13" t="n"/>
      <c r="B211" s="14" t="n"/>
      <c r="C211" s="15" t="n"/>
      <c r="D211" s="14" t="n"/>
      <c r="E211" s="14" t="n"/>
      <c r="F211" s="14" t="n"/>
    </row>
    <row r="212">
      <c r="A212" s="13" t="n"/>
      <c r="B212" s="14" t="n"/>
      <c r="C212" s="15" t="n"/>
      <c r="D212" s="14" t="n"/>
      <c r="E212" s="14" t="n"/>
      <c r="F212" s="14" t="n"/>
    </row>
    <row r="213">
      <c r="A213" s="13" t="n"/>
      <c r="B213" s="14" t="n"/>
      <c r="C213" s="15" t="n"/>
      <c r="D213" s="14" t="n"/>
      <c r="E213" s="14" t="n"/>
      <c r="F213" s="14" t="n"/>
    </row>
    <row r="214">
      <c r="A214" s="13" t="n"/>
      <c r="B214" s="14" t="n"/>
      <c r="C214" s="15" t="n"/>
      <c r="D214" s="14" t="n"/>
      <c r="E214" s="14" t="n"/>
      <c r="F214" s="14" t="n"/>
    </row>
    <row r="215">
      <c r="A215" s="13" t="n"/>
      <c r="B215" s="14" t="n"/>
      <c r="C215" s="15" t="n"/>
      <c r="D215" s="14" t="n"/>
      <c r="E215" s="14" t="n"/>
      <c r="F215" s="14" t="n"/>
    </row>
    <row r="216">
      <c r="A216" s="13" t="n"/>
      <c r="B216" s="14" t="n"/>
      <c r="C216" s="15" t="n"/>
      <c r="D216" s="14" t="n"/>
      <c r="E216" s="14" t="n"/>
      <c r="F216" s="14" t="n"/>
    </row>
    <row r="217">
      <c r="A217" s="13" t="n"/>
      <c r="B217" s="14" t="n"/>
      <c r="C217" s="15" t="n"/>
      <c r="D217" s="14" t="n"/>
      <c r="E217" s="14" t="n"/>
      <c r="F217" s="14" t="n"/>
    </row>
    <row r="218">
      <c r="A218" s="13" t="n"/>
      <c r="B218" s="14" t="n"/>
      <c r="C218" s="15" t="n"/>
      <c r="D218" s="14" t="n"/>
      <c r="E218" s="14" t="n"/>
      <c r="F218" s="14" t="n"/>
    </row>
    <row r="219">
      <c r="A219" s="13" t="n"/>
      <c r="B219" s="14" t="n"/>
      <c r="C219" s="15" t="n"/>
      <c r="D219" s="14" t="n"/>
      <c r="E219" s="14" t="n"/>
      <c r="F219" s="14" t="n"/>
    </row>
    <row r="220">
      <c r="A220" s="13" t="n"/>
      <c r="B220" s="14" t="n"/>
      <c r="C220" s="15" t="n"/>
      <c r="D220" s="14" t="n"/>
      <c r="E220" s="14" t="n"/>
      <c r="F220" s="14" t="n"/>
    </row>
    <row r="221">
      <c r="A221" s="13" t="n"/>
      <c r="B221" s="14" t="n"/>
      <c r="C221" s="15" t="n"/>
      <c r="D221" s="14" t="n"/>
      <c r="E221" s="14" t="n"/>
      <c r="F221" s="14" t="n"/>
    </row>
    <row r="222">
      <c r="A222" s="13" t="n"/>
      <c r="B222" s="14" t="n"/>
      <c r="C222" s="15" t="n"/>
      <c r="D222" s="14" t="n"/>
      <c r="E222" s="14" t="n"/>
      <c r="F222" s="14" t="n"/>
    </row>
    <row r="223">
      <c r="A223" s="13" t="n"/>
      <c r="B223" s="14" t="n"/>
      <c r="C223" s="15" t="n"/>
      <c r="D223" s="14" t="n"/>
      <c r="E223" s="14" t="n"/>
      <c r="F223" s="14" t="n"/>
    </row>
    <row r="224">
      <c r="A224" s="13" t="n"/>
      <c r="B224" s="14" t="n"/>
      <c r="C224" s="15" t="n"/>
      <c r="D224" s="14" t="n"/>
      <c r="E224" s="14" t="n"/>
      <c r="F224" s="14" t="n"/>
    </row>
    <row r="225">
      <c r="A225" s="13" t="n"/>
      <c r="B225" s="14" t="n"/>
      <c r="C225" s="15" t="n"/>
      <c r="D225" s="14" t="n"/>
      <c r="E225" s="14" t="n"/>
      <c r="F225" s="14" t="n"/>
    </row>
    <row r="226">
      <c r="A226" s="13" t="n"/>
      <c r="B226" s="14" t="n"/>
      <c r="C226" s="15" t="n"/>
      <c r="D226" s="14" t="n"/>
      <c r="E226" s="14" t="n"/>
      <c r="F226" s="14" t="n"/>
    </row>
    <row r="227">
      <c r="A227" s="13" t="n"/>
      <c r="B227" s="14" t="n"/>
      <c r="C227" s="15" t="n"/>
      <c r="D227" s="14" t="n"/>
      <c r="E227" s="14" t="n"/>
      <c r="F227" s="14" t="n"/>
    </row>
    <row r="228">
      <c r="A228" s="13" t="n"/>
      <c r="B228" s="14" t="n"/>
      <c r="C228" s="15" t="n"/>
      <c r="D228" s="14" t="n"/>
      <c r="E228" s="14" t="n"/>
      <c r="F228" s="14" t="n"/>
    </row>
    <row r="229">
      <c r="A229" s="13" t="n"/>
      <c r="B229" s="14" t="n"/>
      <c r="C229" s="15" t="n"/>
      <c r="D229" s="14" t="n"/>
      <c r="E229" s="14" t="n"/>
      <c r="F229" s="14" t="n"/>
    </row>
    <row r="230">
      <c r="A230" s="13" t="n"/>
      <c r="B230" s="14" t="n"/>
      <c r="C230" s="15" t="n"/>
      <c r="D230" s="14" t="n"/>
      <c r="E230" s="14" t="n"/>
      <c r="F230" s="14" t="n"/>
    </row>
    <row r="231">
      <c r="A231" s="13" t="n"/>
      <c r="B231" s="14" t="n"/>
      <c r="C231" s="15" t="n"/>
      <c r="D231" s="14" t="n"/>
      <c r="E231" s="14" t="n"/>
      <c r="F231" s="14" t="n"/>
    </row>
    <row r="232">
      <c r="A232" s="13" t="n"/>
      <c r="B232" s="14" t="n"/>
      <c r="C232" s="15" t="n"/>
      <c r="D232" s="14" t="n"/>
      <c r="E232" s="14" t="n"/>
      <c r="F232" s="14" t="n"/>
    </row>
    <row r="233">
      <c r="A233" s="13" t="n"/>
      <c r="B233" s="14" t="n"/>
      <c r="C233" s="15" t="n"/>
      <c r="D233" s="14" t="n"/>
      <c r="E233" s="14" t="n"/>
      <c r="F233" s="14" t="n"/>
    </row>
    <row r="234">
      <c r="A234" s="13" t="n"/>
      <c r="B234" s="14" t="n"/>
      <c r="C234" s="15" t="n"/>
      <c r="D234" s="14" t="n"/>
      <c r="E234" s="14" t="n"/>
      <c r="F234" s="14" t="n"/>
    </row>
    <row r="235">
      <c r="A235" s="13" t="n"/>
      <c r="B235" s="14" t="n"/>
      <c r="C235" s="15" t="n"/>
      <c r="D235" s="14" t="n"/>
      <c r="E235" s="14" t="n"/>
      <c r="F235" s="14" t="n"/>
    </row>
    <row r="236">
      <c r="A236" s="13" t="n"/>
      <c r="B236" s="14" t="n"/>
      <c r="C236" s="15" t="n"/>
      <c r="D236" s="14" t="n"/>
      <c r="E236" s="14" t="n"/>
      <c r="F236" s="14" t="n"/>
    </row>
    <row r="237">
      <c r="A237" s="13" t="n"/>
      <c r="B237" s="14" t="n"/>
      <c r="C237" s="15" t="n"/>
      <c r="D237" s="14" t="n"/>
      <c r="E237" s="14" t="n"/>
      <c r="F237" s="14" t="n"/>
    </row>
    <row r="238">
      <c r="A238" s="13" t="n"/>
      <c r="B238" s="14" t="n"/>
      <c r="C238" s="15" t="n"/>
      <c r="D238" s="14" t="n"/>
      <c r="E238" s="14" t="n"/>
      <c r="F238" s="14" t="n"/>
    </row>
    <row r="239">
      <c r="A239" s="13" t="n"/>
      <c r="B239" s="14" t="n"/>
      <c r="C239" s="15" t="n"/>
      <c r="D239" s="14" t="n"/>
      <c r="E239" s="14" t="n"/>
      <c r="F239" s="14" t="n"/>
    </row>
    <row r="240">
      <c r="A240" s="13" t="n"/>
      <c r="B240" s="14" t="n"/>
      <c r="C240" s="15" t="n"/>
      <c r="D240" s="14" t="n"/>
      <c r="E240" s="14" t="n"/>
      <c r="F240" s="14" t="n"/>
    </row>
    <row r="241">
      <c r="A241" s="13" t="n"/>
      <c r="B241" s="14" t="n"/>
      <c r="C241" s="15" t="n"/>
      <c r="D241" s="14" t="n"/>
      <c r="E241" s="14" t="n"/>
      <c r="F241" s="14" t="n"/>
    </row>
    <row r="242">
      <c r="A242" s="13" t="n"/>
      <c r="B242" s="14" t="n"/>
      <c r="C242" s="15" t="n"/>
      <c r="D242" s="14" t="n"/>
      <c r="E242" s="14" t="n"/>
      <c r="F242" s="14" t="n"/>
    </row>
    <row r="243">
      <c r="A243" s="13" t="n"/>
      <c r="B243" s="14" t="n"/>
      <c r="C243" s="15" t="n"/>
      <c r="D243" s="14" t="n"/>
      <c r="E243" s="14" t="n"/>
      <c r="F243" s="14" t="n"/>
    </row>
    <row r="244">
      <c r="A244" s="13" t="n"/>
      <c r="B244" s="14" t="n"/>
      <c r="C244" s="15" t="n"/>
      <c r="D244" s="14" t="n"/>
      <c r="E244" s="14" t="n"/>
      <c r="F244" s="14" t="n"/>
    </row>
    <row r="245">
      <c r="A245" s="13" t="n"/>
      <c r="B245" s="14" t="n"/>
      <c r="C245" s="15" t="n"/>
      <c r="D245" s="14" t="n"/>
      <c r="E245" s="14" t="n"/>
      <c r="F245" s="14" t="n"/>
    </row>
    <row r="246">
      <c r="A246" s="13" t="n"/>
      <c r="B246" s="14" t="n"/>
      <c r="C246" s="15" t="n"/>
      <c r="D246" s="14" t="n"/>
      <c r="E246" s="14" t="n"/>
      <c r="F246" s="14" t="n"/>
    </row>
    <row r="247">
      <c r="A247" s="13" t="n"/>
      <c r="B247" s="14" t="n"/>
      <c r="C247" s="15" t="n"/>
      <c r="D247" s="14" t="n"/>
      <c r="E247" s="14" t="n"/>
      <c r="F247" s="14" t="n"/>
    </row>
    <row r="248">
      <c r="A248" s="13" t="n"/>
      <c r="B248" s="14" t="n"/>
      <c r="C248" s="15" t="n"/>
      <c r="D248" s="14" t="n"/>
      <c r="E248" s="14" t="n"/>
      <c r="F248" s="14" t="n"/>
    </row>
    <row r="249">
      <c r="A249" s="13" t="n"/>
      <c r="B249" s="14" t="n"/>
      <c r="C249" s="15" t="n"/>
      <c r="D249" s="14" t="n"/>
      <c r="E249" s="14" t="n"/>
      <c r="F249" s="14" t="n"/>
    </row>
    <row r="250">
      <c r="A250" s="13" t="n"/>
      <c r="B250" s="14" t="n"/>
      <c r="C250" s="15" t="n"/>
      <c r="D250" s="14" t="n"/>
      <c r="E250" s="14" t="n"/>
      <c r="F250" s="14" t="n"/>
    </row>
    <row r="251">
      <c r="A251" s="13" t="n"/>
      <c r="B251" s="14" t="n"/>
      <c r="C251" s="15" t="n"/>
      <c r="D251" s="14" t="n"/>
      <c r="E251" s="14" t="n"/>
      <c r="F251" s="14" t="n"/>
    </row>
    <row r="252">
      <c r="A252" s="13" t="n"/>
      <c r="B252" s="14" t="n"/>
      <c r="C252" s="15" t="n"/>
      <c r="D252" s="14" t="n"/>
      <c r="E252" s="14" t="n"/>
      <c r="F252" s="14" t="n"/>
    </row>
    <row r="253">
      <c r="A253" s="13" t="n"/>
      <c r="B253" s="14" t="n"/>
      <c r="C253" s="15" t="n"/>
      <c r="D253" s="14" t="n"/>
      <c r="E253" s="14" t="n"/>
      <c r="F253" s="14" t="n"/>
    </row>
    <row r="254">
      <c r="A254" s="13" t="n"/>
      <c r="B254" s="14" t="n"/>
      <c r="C254" s="15" t="n"/>
      <c r="D254" s="14" t="n"/>
      <c r="E254" s="14" t="n"/>
      <c r="F254" s="14" t="n"/>
    </row>
    <row r="255">
      <c r="A255" s="13" t="n"/>
      <c r="B255" s="14" t="n"/>
      <c r="C255" s="15" t="n"/>
      <c r="D255" s="14" t="n"/>
      <c r="E255" s="14" t="n"/>
      <c r="F255" s="14" t="n"/>
    </row>
    <row r="256">
      <c r="A256" s="13" t="n"/>
      <c r="B256" s="14" t="n"/>
      <c r="C256" s="15" t="n"/>
      <c r="D256" s="14" t="n"/>
      <c r="E256" s="14" t="n"/>
      <c r="F256" s="14" t="n"/>
    </row>
    <row r="257">
      <c r="A257" s="13" t="n"/>
      <c r="B257" s="14" t="n"/>
      <c r="C257" s="15" t="n"/>
      <c r="D257" s="14" t="n"/>
      <c r="E257" s="14" t="n"/>
      <c r="F257" s="14" t="n"/>
    </row>
    <row r="258">
      <c r="A258" s="13" t="n"/>
      <c r="B258" s="14" t="n"/>
      <c r="C258" s="15" t="n"/>
      <c r="D258" s="14" t="n"/>
      <c r="E258" s="14" t="n"/>
      <c r="F258" s="14" t="n"/>
    </row>
    <row r="259">
      <c r="A259" s="13" t="n"/>
      <c r="B259" s="14" t="n"/>
      <c r="C259" s="15" t="n"/>
      <c r="D259" s="14" t="n"/>
      <c r="E259" s="14" t="n"/>
      <c r="F259" s="14" t="n"/>
    </row>
    <row r="260">
      <c r="A260" s="13" t="n"/>
      <c r="B260" s="14" t="n"/>
      <c r="C260" s="15" t="n"/>
      <c r="D260" s="14" t="n"/>
      <c r="E260" s="14" t="n"/>
      <c r="F260" s="14" t="n"/>
    </row>
    <row r="261">
      <c r="A261" s="13" t="n"/>
      <c r="B261" s="14" t="n"/>
      <c r="C261" s="15" t="n"/>
      <c r="D261" s="14" t="n"/>
      <c r="E261" s="14" t="n"/>
      <c r="F261" s="14" t="n"/>
    </row>
    <row r="262">
      <c r="A262" s="13" t="n"/>
      <c r="B262" s="14" t="n"/>
      <c r="C262" s="15" t="n"/>
      <c r="D262" s="14" t="n"/>
      <c r="E262" s="14" t="n"/>
      <c r="F262" s="14" t="n"/>
    </row>
    <row r="263">
      <c r="A263" s="13" t="n"/>
      <c r="B263" s="14" t="n"/>
      <c r="C263" s="15" t="n"/>
      <c r="D263" s="14" t="n"/>
      <c r="E263" s="14" t="n"/>
      <c r="F263" s="14" t="n"/>
    </row>
    <row r="264">
      <c r="A264" s="13" t="n"/>
      <c r="B264" s="14" t="n"/>
      <c r="C264" s="15" t="n"/>
      <c r="D264" s="14" t="n"/>
      <c r="E264" s="14" t="n"/>
      <c r="F264" s="14" t="n"/>
    </row>
    <row r="265">
      <c r="A265" s="13" t="n"/>
      <c r="B265" s="14" t="n"/>
      <c r="C265" s="15" t="n"/>
      <c r="D265" s="14" t="n"/>
      <c r="E265" s="14" t="n"/>
      <c r="F265" s="14" t="n"/>
    </row>
    <row r="266">
      <c r="A266" s="13" t="n"/>
      <c r="B266" s="14" t="n"/>
      <c r="C266" s="15" t="n"/>
      <c r="D266" s="14" t="n"/>
      <c r="E266" s="14" t="n"/>
      <c r="F266" s="14" t="n"/>
    </row>
    <row r="267">
      <c r="A267" s="13" t="n"/>
      <c r="B267" s="14" t="n"/>
      <c r="C267" s="15" t="n"/>
      <c r="D267" s="14" t="n"/>
      <c r="E267" s="14" t="n"/>
      <c r="F267" s="14" t="n"/>
    </row>
    <row r="268">
      <c r="A268" s="13" t="n"/>
      <c r="B268" s="14" t="n"/>
      <c r="C268" s="15" t="n"/>
      <c r="D268" s="14" t="n"/>
      <c r="E268" s="14" t="n"/>
      <c r="F268" s="14" t="n"/>
    </row>
    <row r="269">
      <c r="A269" s="13" t="n"/>
      <c r="B269" s="14" t="n"/>
      <c r="C269" s="15" t="n"/>
      <c r="D269" s="14" t="n"/>
      <c r="E269" s="14" t="n"/>
      <c r="F269" s="14" t="n"/>
    </row>
    <row r="270">
      <c r="A270" s="13" t="n"/>
      <c r="B270" s="14" t="n"/>
      <c r="C270" s="15" t="n"/>
      <c r="D270" s="14" t="n"/>
      <c r="E270" s="14" t="n"/>
      <c r="F270" s="14" t="n"/>
    </row>
    <row r="271">
      <c r="A271" s="13" t="n"/>
      <c r="B271" s="14" t="n"/>
      <c r="C271" s="15" t="n"/>
      <c r="D271" s="14" t="n"/>
      <c r="E271" s="14" t="n"/>
      <c r="F271" s="14" t="n"/>
    </row>
    <row r="272">
      <c r="A272" s="13" t="n"/>
      <c r="B272" s="14" t="n"/>
      <c r="C272" s="15" t="n"/>
      <c r="D272" s="14" t="n"/>
      <c r="E272" s="14" t="n"/>
      <c r="F272" s="14" t="n"/>
    </row>
    <row r="273">
      <c r="A273" s="13" t="n"/>
      <c r="B273" s="14" t="n"/>
      <c r="C273" s="15" t="n"/>
      <c r="D273" s="14" t="n"/>
      <c r="E273" s="14" t="n"/>
      <c r="F273" s="14" t="n"/>
    </row>
    <row r="274">
      <c r="A274" s="13" t="n"/>
      <c r="B274" s="14" t="n"/>
      <c r="C274" s="15" t="n"/>
      <c r="D274" s="14" t="n"/>
      <c r="E274" s="14" t="n"/>
      <c r="F274" s="14" t="n"/>
    </row>
    <row r="275">
      <c r="A275" s="13" t="n"/>
      <c r="B275" s="14" t="n"/>
      <c r="C275" s="15" t="n"/>
      <c r="D275" s="14" t="n"/>
      <c r="E275" s="14" t="n"/>
      <c r="F275" s="14" t="n"/>
    </row>
    <row r="276">
      <c r="A276" s="13" t="n"/>
      <c r="B276" s="14" t="n"/>
      <c r="C276" s="15" t="n"/>
      <c r="D276" s="14" t="n"/>
      <c r="E276" s="14" t="n"/>
      <c r="F276" s="14" t="n"/>
    </row>
    <row r="277">
      <c r="A277" s="13" t="n"/>
      <c r="B277" s="14" t="n"/>
      <c r="C277" s="15" t="n"/>
      <c r="D277" s="14" t="n"/>
      <c r="E277" s="14" t="n"/>
      <c r="F277" s="14" t="n"/>
    </row>
    <row r="278">
      <c r="A278" s="13" t="n"/>
      <c r="B278" s="14" t="n"/>
      <c r="C278" s="15" t="n"/>
      <c r="D278" s="14" t="n"/>
      <c r="E278" s="14" t="n"/>
      <c r="F278" s="14" t="n"/>
    </row>
    <row r="279">
      <c r="A279" s="13" t="n"/>
      <c r="B279" s="14" t="n"/>
      <c r="C279" s="15" t="n"/>
      <c r="D279" s="14" t="n"/>
      <c r="E279" s="14" t="n"/>
      <c r="F279" s="14" t="n"/>
    </row>
    <row r="280">
      <c r="A280" s="13" t="n"/>
      <c r="B280" s="14" t="n"/>
      <c r="C280" s="15" t="n"/>
      <c r="D280" s="14" t="n"/>
      <c r="E280" s="14" t="n"/>
      <c r="F280" s="14" t="n"/>
    </row>
    <row r="281">
      <c r="A281" s="13" t="n"/>
      <c r="B281" s="14" t="n"/>
      <c r="C281" s="15" t="n"/>
      <c r="D281" s="14" t="n"/>
      <c r="E281" s="14" t="n"/>
      <c r="F281" s="14" t="n"/>
    </row>
    <row r="282">
      <c r="A282" s="13" t="n"/>
      <c r="B282" s="14" t="n"/>
      <c r="C282" s="15" t="n"/>
      <c r="D282" s="14" t="n"/>
      <c r="E282" s="14" t="n"/>
      <c r="F282" s="14" t="n"/>
    </row>
    <row r="283">
      <c r="A283" s="13" t="n"/>
      <c r="B283" s="14" t="n"/>
      <c r="C283" s="15" t="n"/>
      <c r="D283" s="14" t="n"/>
      <c r="E283" s="14" t="n"/>
      <c r="F283" s="14" t="n"/>
    </row>
    <row r="284">
      <c r="A284" s="13" t="n"/>
      <c r="B284" s="14" t="n"/>
      <c r="C284" s="15" t="n"/>
      <c r="D284" s="14" t="n"/>
      <c r="E284" s="14" t="n"/>
      <c r="F284" s="14" t="n"/>
    </row>
    <row r="285">
      <c r="A285" s="13" t="n"/>
      <c r="B285" s="14" t="n"/>
      <c r="C285" s="15" t="n"/>
      <c r="D285" s="14" t="n"/>
      <c r="E285" s="14" t="n"/>
      <c r="F285" s="14" t="n"/>
    </row>
    <row r="286">
      <c r="A286" s="13" t="n"/>
      <c r="B286" s="14" t="n"/>
      <c r="C286" s="15" t="n"/>
      <c r="D286" s="14" t="n"/>
      <c r="E286" s="14" t="n"/>
      <c r="F286" s="14" t="n"/>
    </row>
    <row r="287">
      <c r="A287" s="13" t="n"/>
      <c r="B287" s="14" t="n"/>
      <c r="C287" s="15" t="n"/>
      <c r="D287" s="14" t="n"/>
      <c r="E287" s="14" t="n"/>
      <c r="F287" s="14" t="n"/>
    </row>
    <row r="288">
      <c r="A288" s="13" t="n"/>
      <c r="B288" s="14" t="n"/>
      <c r="C288" s="15" t="n"/>
      <c r="D288" s="14" t="n"/>
      <c r="E288" s="14" t="n"/>
      <c r="F288" s="14" t="n"/>
    </row>
    <row r="289">
      <c r="A289" s="13" t="n"/>
      <c r="B289" s="14" t="n"/>
      <c r="C289" s="15" t="n"/>
      <c r="D289" s="14" t="n"/>
      <c r="E289" s="14" t="n"/>
      <c r="F289" s="14" t="n"/>
    </row>
    <row r="290">
      <c r="A290" s="13" t="n"/>
      <c r="B290" s="14" t="n"/>
      <c r="C290" s="15" t="n"/>
      <c r="D290" s="14" t="n"/>
      <c r="E290" s="14" t="n"/>
      <c r="F290" s="14" t="n"/>
    </row>
    <row r="291">
      <c r="A291" s="13" t="n"/>
      <c r="B291" s="14" t="n"/>
      <c r="C291" s="15" t="n"/>
      <c r="D291" s="14" t="n"/>
      <c r="E291" s="14" t="n"/>
      <c r="F291" s="14" t="n"/>
    </row>
    <row r="292">
      <c r="A292" s="13" t="n"/>
      <c r="B292" s="14" t="n"/>
      <c r="C292" s="15" t="n"/>
      <c r="D292" s="14" t="n"/>
      <c r="E292" s="14" t="n"/>
      <c r="F292" s="14" t="n"/>
    </row>
    <row r="293">
      <c r="A293" s="13" t="n"/>
      <c r="B293" s="14" t="n"/>
      <c r="C293" s="15" t="n"/>
      <c r="D293" s="14" t="n"/>
      <c r="E293" s="14" t="n"/>
      <c r="F293" s="14" t="n"/>
    </row>
    <row r="294">
      <c r="A294" s="13" t="n"/>
      <c r="B294" s="14" t="n"/>
      <c r="C294" s="15" t="n"/>
      <c r="D294" s="14" t="n"/>
      <c r="E294" s="14" t="n"/>
      <c r="F294" s="14" t="n"/>
    </row>
    <row r="295">
      <c r="A295" s="13" t="n"/>
      <c r="B295" s="14" t="n"/>
      <c r="C295" s="15" t="n"/>
      <c r="D295" s="14" t="n"/>
      <c r="E295" s="14" t="n"/>
      <c r="F295" s="14" t="n"/>
    </row>
    <row r="296">
      <c r="A296" s="13" t="n"/>
      <c r="B296" s="14" t="n"/>
      <c r="C296" s="15" t="n"/>
      <c r="D296" s="14" t="n"/>
      <c r="E296" s="14" t="n"/>
      <c r="F296" s="14" t="n"/>
    </row>
    <row r="297">
      <c r="A297" s="13" t="n"/>
      <c r="B297" s="14" t="n"/>
      <c r="C297" s="15" t="n"/>
      <c r="D297" s="14" t="n"/>
      <c r="E297" s="14" t="n"/>
      <c r="F297" s="14" t="n"/>
    </row>
    <row r="298">
      <c r="A298" s="13" t="n"/>
      <c r="B298" s="14" t="n"/>
      <c r="C298" s="15" t="n"/>
      <c r="D298" s="14" t="n"/>
      <c r="E298" s="14" t="n"/>
      <c r="F298" s="14" t="n"/>
    </row>
    <row r="299">
      <c r="A299" s="13" t="n"/>
      <c r="B299" s="14" t="n"/>
      <c r="C299" s="15" t="n"/>
      <c r="D299" s="14" t="n"/>
      <c r="E299" s="14" t="n"/>
      <c r="F299" s="14" t="n"/>
    </row>
    <row r="300">
      <c r="A300" s="13" t="n"/>
      <c r="B300" s="14" t="n"/>
      <c r="C300" s="15" t="n"/>
      <c r="D300" s="14" t="n"/>
      <c r="E300" s="14" t="n"/>
      <c r="F300" s="14" t="n"/>
    </row>
    <row r="301">
      <c r="A301" s="13" t="n"/>
      <c r="B301" s="14" t="n"/>
      <c r="C301" s="15" t="n"/>
      <c r="D301" s="14" t="n"/>
      <c r="E301" s="14" t="n"/>
      <c r="F301" s="14" t="n"/>
    </row>
    <row r="302">
      <c r="A302" s="13" t="n"/>
      <c r="B302" s="14" t="n"/>
      <c r="C302" s="15" t="n"/>
      <c r="D302" s="14" t="n"/>
      <c r="E302" s="14" t="n"/>
      <c r="F302" s="14" t="n"/>
    </row>
    <row r="303">
      <c r="A303" s="13" t="n"/>
      <c r="B303" s="14" t="n"/>
      <c r="C303" s="15" t="n"/>
      <c r="D303" s="14" t="n"/>
      <c r="E303" s="14" t="n"/>
      <c r="F303" s="14" t="n"/>
    </row>
    <row r="304">
      <c r="A304" s="13" t="n"/>
      <c r="B304" s="14" t="n"/>
      <c r="C304" s="15" t="n"/>
      <c r="D304" s="14" t="n"/>
      <c r="E304" s="14" t="n"/>
      <c r="F304" s="14" t="n"/>
    </row>
    <row r="305">
      <c r="A305" s="13" t="n"/>
      <c r="B305" s="14" t="n"/>
      <c r="C305" s="15" t="n"/>
      <c r="D305" s="14" t="n"/>
      <c r="E305" s="14" t="n"/>
      <c r="F305" s="14" t="n"/>
    </row>
    <row r="306">
      <c r="A306" s="13" t="n"/>
      <c r="B306" s="14" t="n"/>
      <c r="C306" s="15" t="n"/>
      <c r="D306" s="14" t="n"/>
      <c r="E306" s="14" t="n"/>
      <c r="F306" s="14" t="n"/>
    </row>
    <row r="307">
      <c r="A307" s="13" t="n"/>
      <c r="B307" s="14" t="n"/>
      <c r="C307" s="15" t="n"/>
      <c r="D307" s="14" t="n"/>
      <c r="E307" s="14" t="n"/>
      <c r="F307" s="14" t="n"/>
    </row>
    <row r="308">
      <c r="A308" s="13" t="n"/>
      <c r="B308" s="14" t="n"/>
      <c r="C308" s="15" t="n"/>
      <c r="D308" s="14" t="n"/>
      <c r="E308" s="14" t="n"/>
      <c r="F308" s="14" t="n"/>
    </row>
    <row r="309">
      <c r="A309" s="13" t="n"/>
      <c r="B309" s="14" t="n"/>
      <c r="C309" s="15" t="n"/>
      <c r="D309" s="14" t="n"/>
      <c r="E309" s="14" t="n"/>
      <c r="F309" s="14" t="n"/>
    </row>
    <row r="310">
      <c r="A310" s="13" t="n"/>
      <c r="B310" s="14" t="n"/>
      <c r="C310" s="15" t="n"/>
      <c r="D310" s="14" t="n"/>
      <c r="E310" s="14" t="n"/>
      <c r="F310" s="14" t="n"/>
    </row>
    <row r="311">
      <c r="A311" s="13" t="n"/>
      <c r="B311" s="14" t="n"/>
      <c r="C311" s="15" t="n"/>
      <c r="D311" s="14" t="n"/>
      <c r="E311" s="14" t="n"/>
      <c r="F311" s="14" t="n"/>
    </row>
    <row r="312">
      <c r="A312" s="13" t="n"/>
      <c r="B312" s="14" t="n"/>
      <c r="C312" s="15" t="n"/>
      <c r="D312" s="14" t="n"/>
      <c r="E312" s="14" t="n"/>
      <c r="F312" s="14" t="n"/>
    </row>
    <row r="313">
      <c r="A313" s="13" t="n"/>
      <c r="B313" s="14" t="n"/>
      <c r="C313" s="15" t="n"/>
      <c r="D313" s="14" t="n"/>
      <c r="E313" s="14" t="n"/>
      <c r="F313" s="14" t="n"/>
    </row>
    <row r="314">
      <c r="A314" s="13" t="n"/>
      <c r="B314" s="14" t="n"/>
      <c r="C314" s="15" t="n"/>
      <c r="D314" s="14" t="n"/>
      <c r="E314" s="14" t="n"/>
      <c r="F314" s="14" t="n"/>
    </row>
    <row r="315">
      <c r="A315" s="13" t="n"/>
      <c r="B315" s="14" t="n"/>
      <c r="C315" s="15" t="n"/>
      <c r="D315" s="14" t="n"/>
      <c r="E315" s="14" t="n"/>
      <c r="F315" s="14" t="n"/>
    </row>
    <row r="316">
      <c r="A316" s="13" t="n"/>
      <c r="B316" s="14" t="n"/>
      <c r="C316" s="15" t="n"/>
      <c r="D316" s="14" t="n"/>
      <c r="E316" s="14" t="n"/>
      <c r="F316" s="14" t="n"/>
    </row>
    <row r="317">
      <c r="A317" s="13" t="n"/>
      <c r="B317" s="14" t="n"/>
      <c r="C317" s="15" t="n"/>
      <c r="D317" s="14" t="n"/>
      <c r="E317" s="14" t="n"/>
      <c r="F317" s="14" t="n"/>
    </row>
    <row r="318">
      <c r="A318" s="13" t="n"/>
      <c r="B318" s="14" t="n"/>
      <c r="C318" s="15" t="n"/>
      <c r="D318" s="14" t="n"/>
      <c r="E318" s="14" t="n"/>
      <c r="F318" s="14" t="n"/>
    </row>
    <row r="319">
      <c r="A319" s="13" t="n"/>
      <c r="B319" s="14" t="n"/>
      <c r="C319" s="15" t="n"/>
      <c r="D319" s="14" t="n"/>
      <c r="E319" s="14" t="n"/>
      <c r="F319" s="14" t="n"/>
    </row>
    <row r="320">
      <c r="A320" s="13" t="n"/>
      <c r="B320" s="14" t="n"/>
      <c r="C320" s="15" t="n"/>
      <c r="D320" s="14" t="n"/>
      <c r="E320" s="14" t="n"/>
      <c r="F320" s="14" t="n"/>
    </row>
    <row r="321">
      <c r="A321" s="13" t="n"/>
      <c r="B321" s="14" t="n"/>
      <c r="C321" s="15" t="n"/>
      <c r="D321" s="14" t="n"/>
      <c r="E321" s="14" t="n"/>
      <c r="F321" s="14" t="n"/>
    </row>
    <row r="322">
      <c r="A322" s="13" t="n"/>
      <c r="B322" s="14" t="n"/>
      <c r="C322" s="15" t="n"/>
      <c r="D322" s="14" t="n"/>
      <c r="E322" s="14" t="n"/>
      <c r="F322" s="14" t="n"/>
    </row>
    <row r="323">
      <c r="A323" s="13" t="n"/>
      <c r="B323" s="14" t="n"/>
      <c r="C323" s="15" t="n"/>
      <c r="D323" s="14" t="n"/>
      <c r="E323" s="14" t="n"/>
      <c r="F323" s="14" t="n"/>
    </row>
    <row r="324">
      <c r="A324" s="13" t="n"/>
      <c r="B324" s="14" t="n"/>
      <c r="C324" s="15" t="n"/>
      <c r="D324" s="14" t="n"/>
      <c r="E324" s="14" t="n"/>
      <c r="F324" s="14" t="n"/>
    </row>
    <row r="325">
      <c r="A325" s="13" t="n"/>
      <c r="B325" s="14" t="n"/>
      <c r="C325" s="15" t="n"/>
      <c r="D325" s="14" t="n"/>
      <c r="E325" s="14" t="n"/>
      <c r="F325" s="14" t="n"/>
    </row>
    <row r="326">
      <c r="A326" s="13" t="n"/>
      <c r="B326" s="14" t="n"/>
      <c r="C326" s="15" t="n"/>
      <c r="D326" s="14" t="n"/>
      <c r="E326" s="14" t="n"/>
      <c r="F326" s="14" t="n"/>
    </row>
    <row r="327">
      <c r="A327" s="13" t="n"/>
      <c r="B327" s="14" t="n"/>
      <c r="C327" s="15" t="n"/>
      <c r="D327" s="14" t="n"/>
      <c r="E327" s="14" t="n"/>
      <c r="F327" s="14" t="n"/>
    </row>
    <row r="328">
      <c r="A328" s="13" t="n"/>
      <c r="B328" s="14" t="n"/>
      <c r="C328" s="15" t="n"/>
      <c r="D328" s="14" t="n"/>
      <c r="E328" s="14" t="n"/>
      <c r="F328" s="14" t="n"/>
    </row>
    <row r="329">
      <c r="A329" s="13" t="n"/>
      <c r="B329" s="14" t="n"/>
      <c r="C329" s="15" t="n"/>
      <c r="D329" s="14" t="n"/>
      <c r="E329" s="14" t="n"/>
      <c r="F329" s="14" t="n"/>
    </row>
    <row r="330">
      <c r="A330" s="13" t="n"/>
      <c r="B330" s="14" t="n"/>
      <c r="C330" s="15" t="n"/>
      <c r="D330" s="14" t="n"/>
      <c r="E330" s="14" t="n"/>
      <c r="F330" s="14" t="n"/>
    </row>
    <row r="331">
      <c r="A331" s="13" t="n"/>
      <c r="B331" s="14" t="n"/>
      <c r="C331" s="15" t="n"/>
      <c r="D331" s="14" t="n"/>
      <c r="E331" s="14" t="n"/>
      <c r="F331" s="14" t="n"/>
    </row>
    <row r="332">
      <c r="A332" s="13" t="n"/>
      <c r="B332" s="14" t="n"/>
      <c r="C332" s="15" t="n"/>
      <c r="D332" s="14" t="n"/>
      <c r="E332" s="14" t="n"/>
      <c r="F332" s="14" t="n"/>
    </row>
    <row r="333">
      <c r="A333" s="13" t="n"/>
      <c r="B333" s="14" t="n"/>
      <c r="C333" s="15" t="n"/>
      <c r="D333" s="14" t="n"/>
      <c r="E333" s="14" t="n"/>
      <c r="F333" s="14" t="n"/>
    </row>
    <row r="334">
      <c r="A334" s="13" t="n"/>
      <c r="B334" s="14" t="n"/>
      <c r="C334" s="15" t="n"/>
      <c r="D334" s="14" t="n"/>
      <c r="E334" s="14" t="n"/>
      <c r="F334" s="14" t="n"/>
    </row>
    <row r="335">
      <c r="A335" s="13" t="n"/>
      <c r="B335" s="14" t="n"/>
      <c r="C335" s="15" t="n"/>
      <c r="D335" s="14" t="n"/>
      <c r="E335" s="14" t="n"/>
      <c r="F335" s="14" t="n"/>
    </row>
    <row r="336">
      <c r="A336" s="13" t="n"/>
      <c r="B336" s="14" t="n"/>
      <c r="C336" s="15" t="n"/>
      <c r="D336" s="14" t="n"/>
      <c r="E336" s="14" t="n"/>
      <c r="F336" s="14" t="n"/>
    </row>
    <row r="337">
      <c r="A337" s="13" t="n"/>
      <c r="B337" s="14" t="n"/>
      <c r="C337" s="15" t="n"/>
      <c r="D337" s="14" t="n"/>
      <c r="E337" s="14" t="n"/>
      <c r="F337" s="14" t="n"/>
    </row>
    <row r="338">
      <c r="A338" s="13" t="n"/>
      <c r="B338" s="14" t="n"/>
      <c r="C338" s="15" t="n"/>
      <c r="D338" s="14" t="n"/>
      <c r="E338" s="14" t="n"/>
      <c r="F338" s="14" t="n"/>
    </row>
    <row r="339">
      <c r="A339" s="13" t="n"/>
      <c r="B339" s="14" t="n"/>
      <c r="C339" s="15" t="n"/>
      <c r="D339" s="14" t="n"/>
      <c r="E339" s="14" t="n"/>
      <c r="F339" s="14" t="n"/>
    </row>
    <row r="340">
      <c r="A340" s="13" t="n"/>
      <c r="B340" s="14" t="n"/>
      <c r="C340" s="15" t="n"/>
      <c r="D340" s="14" t="n"/>
      <c r="E340" s="14" t="n"/>
      <c r="F340" s="14" t="n"/>
    </row>
    <row r="341">
      <c r="A341" s="13" t="n"/>
      <c r="B341" s="14" t="n"/>
      <c r="C341" s="15" t="n"/>
      <c r="D341" s="14" t="n"/>
      <c r="E341" s="14" t="n"/>
      <c r="F341" s="14" t="n"/>
    </row>
    <row r="342">
      <c r="A342" s="13" t="n"/>
      <c r="B342" s="14" t="n"/>
      <c r="C342" s="15" t="n"/>
      <c r="D342" s="14" t="n"/>
      <c r="E342" s="14" t="n"/>
      <c r="F342" s="14" t="n"/>
    </row>
    <row r="343">
      <c r="A343" s="13" t="n"/>
      <c r="B343" s="14" t="n"/>
      <c r="C343" s="15" t="n"/>
      <c r="D343" s="14" t="n"/>
      <c r="E343" s="14" t="n"/>
      <c r="F343" s="14" t="n"/>
    </row>
    <row r="344">
      <c r="A344" s="13" t="n"/>
      <c r="B344" s="14" t="n"/>
      <c r="C344" s="15" t="n"/>
      <c r="D344" s="14" t="n"/>
      <c r="E344" s="14" t="n"/>
      <c r="F344" s="14" t="n"/>
    </row>
    <row r="345">
      <c r="A345" s="13" t="n"/>
      <c r="B345" s="14" t="n"/>
      <c r="C345" s="15" t="n"/>
      <c r="D345" s="14" t="n"/>
      <c r="E345" s="14" t="n"/>
      <c r="F345" s="14" t="n"/>
    </row>
    <row r="346">
      <c r="A346" s="13" t="n"/>
      <c r="B346" s="14" t="n"/>
      <c r="C346" s="15" t="n"/>
      <c r="D346" s="14" t="n"/>
      <c r="E346" s="14" t="n"/>
      <c r="F346" s="14" t="n"/>
    </row>
    <row r="347">
      <c r="A347" s="13" t="n"/>
      <c r="B347" s="14" t="n"/>
      <c r="C347" s="15" t="n"/>
      <c r="D347" s="14" t="n"/>
      <c r="E347" s="14" t="n"/>
      <c r="F347" s="14" t="n"/>
    </row>
    <row r="348">
      <c r="A348" s="13" t="n"/>
      <c r="B348" s="14" t="n"/>
      <c r="C348" s="15" t="n"/>
      <c r="D348" s="14" t="n"/>
      <c r="E348" s="14" t="n"/>
      <c r="F348" s="14" t="n"/>
    </row>
    <row r="349">
      <c r="A349" s="13" t="n"/>
      <c r="B349" s="14" t="n"/>
      <c r="C349" s="15" t="n"/>
      <c r="D349" s="14" t="n"/>
      <c r="E349" s="14" t="n"/>
      <c r="F349" s="14" t="n"/>
    </row>
    <row r="350">
      <c r="A350" s="13" t="n"/>
      <c r="B350" s="14" t="n"/>
      <c r="C350" s="15" t="n"/>
      <c r="D350" s="14" t="n"/>
      <c r="E350" s="14" t="n"/>
      <c r="F350" s="14" t="n"/>
    </row>
    <row r="351">
      <c r="A351" s="13" t="n"/>
      <c r="B351" s="14" t="n"/>
      <c r="C351" s="15" t="n"/>
      <c r="D351" s="14" t="n"/>
      <c r="E351" s="14" t="n"/>
      <c r="F351" s="14" t="n"/>
    </row>
    <row r="352">
      <c r="A352" s="13" t="n"/>
      <c r="B352" s="14" t="n"/>
      <c r="C352" s="15" t="n"/>
      <c r="D352" s="14" t="n"/>
      <c r="E352" s="14" t="n"/>
      <c r="F352" s="14" t="n"/>
    </row>
    <row r="353">
      <c r="A353" s="13" t="n"/>
      <c r="B353" s="14" t="n"/>
      <c r="C353" s="15" t="n"/>
      <c r="D353" s="14" t="n"/>
      <c r="E353" s="14" t="n"/>
      <c r="F353" s="14" t="n"/>
    </row>
    <row r="354">
      <c r="A354" s="13" t="n"/>
      <c r="B354" s="14" t="n"/>
      <c r="C354" s="15" t="n"/>
      <c r="D354" s="14" t="n"/>
      <c r="E354" s="14" t="n"/>
      <c r="F354" s="14" t="n"/>
    </row>
    <row r="355">
      <c r="A355" s="13" t="n"/>
      <c r="B355" s="14" t="n"/>
      <c r="C355" s="15" t="n"/>
      <c r="D355" s="14" t="n"/>
      <c r="E355" s="14" t="n"/>
      <c r="F355" s="14" t="n"/>
    </row>
    <row r="356">
      <c r="A356" s="13" t="n"/>
      <c r="B356" s="14" t="n"/>
      <c r="C356" s="15" t="n"/>
      <c r="D356" s="14" t="n"/>
      <c r="E356" s="14" t="n"/>
      <c r="F356" s="14" t="n"/>
    </row>
    <row r="357">
      <c r="A357" s="13" t="n"/>
      <c r="B357" s="14" t="n"/>
      <c r="C357" s="15" t="n"/>
      <c r="D357" s="14" t="n"/>
      <c r="E357" s="14" t="n"/>
      <c r="F357" s="14" t="n"/>
    </row>
    <row r="358">
      <c r="A358" s="13" t="n"/>
      <c r="B358" s="14" t="n"/>
      <c r="C358" s="15" t="n"/>
      <c r="D358" s="14" t="n"/>
      <c r="E358" s="14" t="n"/>
      <c r="F358" s="14" t="n"/>
    </row>
    <row r="359">
      <c r="A359" s="13" t="n"/>
      <c r="B359" s="14" t="n"/>
      <c r="C359" s="15" t="n"/>
      <c r="D359" s="14" t="n"/>
      <c r="E359" s="14" t="n"/>
      <c r="F359" s="14" t="n"/>
    </row>
    <row r="360">
      <c r="A360" s="13" t="n"/>
      <c r="B360" s="14" t="n"/>
      <c r="C360" s="15" t="n"/>
      <c r="D360" s="14" t="n"/>
      <c r="E360" s="14" t="n"/>
      <c r="F360" s="14" t="n"/>
    </row>
    <row r="361">
      <c r="A361" s="13" t="n"/>
      <c r="B361" s="14" t="n"/>
      <c r="C361" s="15" t="n"/>
      <c r="D361" s="14" t="n"/>
      <c r="E361" s="14" t="n"/>
      <c r="F361" s="14" t="n"/>
    </row>
    <row r="362">
      <c r="A362" s="13" t="n"/>
      <c r="B362" s="14" t="n"/>
      <c r="C362" s="15" t="n"/>
      <c r="D362" s="14" t="n"/>
      <c r="E362" s="14" t="n"/>
      <c r="F362" s="14" t="n"/>
    </row>
    <row r="363">
      <c r="A363" s="13" t="n"/>
      <c r="B363" s="14" t="n"/>
      <c r="C363" s="15" t="n"/>
      <c r="D363" s="14" t="n"/>
      <c r="E363" s="14" t="n"/>
      <c r="F363" s="14" t="n"/>
    </row>
    <row r="364">
      <c r="A364" s="13" t="n"/>
      <c r="B364" s="14" t="n"/>
      <c r="C364" s="15" t="n"/>
      <c r="D364" s="14" t="n"/>
      <c r="E364" s="14" t="n"/>
      <c r="F364" s="14" t="n"/>
    </row>
    <row r="365">
      <c r="A365" s="13" t="n"/>
      <c r="B365" s="14" t="n"/>
      <c r="C365" s="15" t="n"/>
      <c r="D365" s="14" t="n"/>
      <c r="E365" s="14" t="n"/>
      <c r="F365" s="14" t="n"/>
    </row>
    <row r="366">
      <c r="A366" s="13" t="n"/>
      <c r="B366" s="14" t="n"/>
      <c r="C366" s="15" t="n"/>
      <c r="D366" s="14" t="n"/>
      <c r="E366" s="14" t="n"/>
      <c r="F366" s="14" t="n"/>
    </row>
    <row r="367">
      <c r="A367" s="13" t="n"/>
      <c r="B367" s="14" t="n"/>
      <c r="C367" s="15" t="n"/>
      <c r="D367" s="14" t="n"/>
      <c r="E367" s="14" t="n"/>
      <c r="F367" s="14" t="n"/>
    </row>
    <row r="368">
      <c r="A368" s="13" t="n"/>
      <c r="B368" s="14" t="n"/>
      <c r="C368" s="15" t="n"/>
      <c r="D368" s="14" t="n"/>
      <c r="E368" s="14" t="n"/>
      <c r="F368" s="14" t="n"/>
    </row>
    <row r="369">
      <c r="A369" s="13" t="n"/>
      <c r="B369" s="14" t="n"/>
      <c r="C369" s="15" t="n"/>
      <c r="D369" s="14" t="n"/>
      <c r="E369" s="14" t="n"/>
      <c r="F369" s="14" t="n"/>
    </row>
    <row r="370">
      <c r="A370" s="13" t="n"/>
      <c r="B370" s="14" t="n"/>
      <c r="C370" s="15" t="n"/>
      <c r="D370" s="14" t="n"/>
      <c r="E370" s="14" t="n"/>
      <c r="F370" s="14" t="n"/>
    </row>
    <row r="371">
      <c r="A371" s="13" t="n"/>
      <c r="B371" s="14" t="n"/>
      <c r="C371" s="15" t="n"/>
      <c r="D371" s="14" t="n"/>
      <c r="E371" s="14" t="n"/>
      <c r="F371" s="14" t="n"/>
    </row>
    <row r="372">
      <c r="A372" s="13" t="n"/>
      <c r="B372" s="14" t="n"/>
      <c r="C372" s="15" t="n"/>
      <c r="D372" s="14" t="n"/>
      <c r="E372" s="14" t="n"/>
      <c r="F372" s="14" t="n"/>
    </row>
    <row r="373">
      <c r="A373" s="13" t="n"/>
      <c r="B373" s="14" t="n"/>
      <c r="C373" s="15" t="n"/>
      <c r="D373" s="14" t="n"/>
      <c r="E373" s="14" t="n"/>
      <c r="F373" s="14" t="n"/>
    </row>
    <row r="374">
      <c r="A374" s="13" t="n"/>
      <c r="B374" s="14" t="n"/>
      <c r="C374" s="15" t="n"/>
      <c r="D374" s="14" t="n"/>
      <c r="E374" s="14" t="n"/>
      <c r="F374" s="14" t="n"/>
    </row>
    <row r="375">
      <c r="A375" s="13" t="n"/>
      <c r="B375" s="14" t="n"/>
      <c r="C375" s="15" t="n"/>
      <c r="D375" s="14" t="n"/>
      <c r="E375" s="14" t="n"/>
      <c r="F375" s="14" t="n"/>
    </row>
    <row r="376">
      <c r="A376" s="13" t="n"/>
      <c r="B376" s="14" t="n"/>
      <c r="C376" s="15" t="n"/>
      <c r="D376" s="14" t="n"/>
      <c r="E376" s="14" t="n"/>
      <c r="F376" s="14" t="n"/>
    </row>
    <row r="377">
      <c r="A377" s="13" t="n"/>
      <c r="B377" s="14" t="n"/>
      <c r="C377" s="15" t="n"/>
      <c r="D377" s="14" t="n"/>
      <c r="E377" s="14" t="n"/>
      <c r="F377" s="14" t="n"/>
    </row>
    <row r="378">
      <c r="A378" s="13" t="n"/>
      <c r="B378" s="14" t="n"/>
      <c r="C378" s="15" t="n"/>
      <c r="D378" s="14" t="n"/>
      <c r="E378" s="14" t="n"/>
      <c r="F378" s="14" t="n"/>
    </row>
    <row r="379">
      <c r="A379" s="13" t="n"/>
      <c r="B379" s="14" t="n"/>
      <c r="C379" s="15" t="n"/>
      <c r="D379" s="14" t="n"/>
      <c r="E379" s="14" t="n"/>
      <c r="F379" s="14" t="n"/>
    </row>
    <row r="380">
      <c r="A380" s="13" t="n"/>
      <c r="B380" s="14" t="n"/>
      <c r="C380" s="15" t="n"/>
      <c r="D380" s="14" t="n"/>
      <c r="E380" s="14" t="n"/>
      <c r="F380" s="14" t="n"/>
    </row>
    <row r="381">
      <c r="A381" s="13" t="n"/>
      <c r="B381" s="14" t="n"/>
      <c r="C381" s="15" t="n"/>
      <c r="D381" s="14" t="n"/>
      <c r="E381" s="14" t="n"/>
      <c r="F381" s="14" t="n"/>
    </row>
    <row r="382">
      <c r="A382" s="13" t="n"/>
      <c r="B382" s="14" t="n"/>
      <c r="C382" s="15" t="n"/>
      <c r="D382" s="14" t="n"/>
      <c r="E382" s="14" t="n"/>
      <c r="F382" s="14" t="n"/>
    </row>
    <row r="383">
      <c r="A383" s="13" t="n"/>
      <c r="B383" s="14" t="n"/>
      <c r="C383" s="15" t="n"/>
      <c r="D383" s="14" t="n"/>
      <c r="E383" s="14" t="n"/>
      <c r="F383" s="14" t="n"/>
    </row>
    <row r="384">
      <c r="A384" s="13" t="n"/>
      <c r="B384" s="14" t="n"/>
      <c r="C384" s="15" t="n"/>
      <c r="D384" s="14" t="n"/>
      <c r="E384" s="14" t="n"/>
      <c r="F384" s="14" t="n"/>
    </row>
    <row r="385">
      <c r="A385" s="13" t="n"/>
      <c r="B385" s="14" t="n"/>
      <c r="C385" s="15" t="n"/>
      <c r="D385" s="14" t="n"/>
      <c r="E385" s="14" t="n"/>
      <c r="F385" s="14" t="n"/>
    </row>
    <row r="386">
      <c r="A386" s="13" t="n"/>
      <c r="B386" s="14" t="n"/>
      <c r="C386" s="15" t="n"/>
      <c r="D386" s="14" t="n"/>
      <c r="E386" s="14" t="n"/>
      <c r="F386" s="14" t="n"/>
    </row>
    <row r="387">
      <c r="A387" s="13" t="n"/>
      <c r="B387" s="14" t="n"/>
      <c r="C387" s="15" t="n"/>
      <c r="D387" s="14" t="n"/>
      <c r="E387" s="14" t="n"/>
      <c r="F387" s="14" t="n"/>
    </row>
    <row r="388">
      <c r="A388" s="13" t="n"/>
      <c r="B388" s="14" t="n"/>
      <c r="C388" s="15" t="n"/>
      <c r="D388" s="14" t="n"/>
      <c r="E388" s="14" t="n"/>
      <c r="F388" s="14" t="n"/>
    </row>
    <row r="389">
      <c r="A389" s="13" t="n"/>
      <c r="B389" s="14" t="n"/>
      <c r="C389" s="15" t="n"/>
      <c r="D389" s="14" t="n"/>
      <c r="E389" s="14" t="n"/>
      <c r="F389" s="14" t="n"/>
    </row>
    <row r="390">
      <c r="A390" s="13" t="n"/>
      <c r="B390" s="14" t="n"/>
      <c r="C390" s="15" t="n"/>
      <c r="D390" s="14" t="n"/>
      <c r="E390" s="14" t="n"/>
      <c r="F390" s="14" t="n"/>
    </row>
    <row r="391">
      <c r="A391" s="13" t="n"/>
      <c r="B391" s="14" t="n"/>
      <c r="C391" s="15" t="n"/>
      <c r="D391" s="14" t="n"/>
      <c r="E391" s="14" t="n"/>
      <c r="F391" s="14" t="n"/>
    </row>
    <row r="392">
      <c r="A392" s="13" t="n"/>
      <c r="B392" s="14" t="n"/>
      <c r="C392" s="15" t="n"/>
      <c r="D392" s="14" t="n"/>
      <c r="E392" s="14" t="n"/>
      <c r="F392" s="14" t="n"/>
    </row>
    <row r="393">
      <c r="A393" s="13" t="n"/>
      <c r="B393" s="14" t="n"/>
      <c r="C393" s="15" t="n"/>
      <c r="D393" s="14" t="n"/>
      <c r="E393" s="14" t="n"/>
      <c r="F393" s="14" t="n"/>
    </row>
    <row r="394">
      <c r="A394" s="13" t="n"/>
      <c r="B394" s="14" t="n"/>
      <c r="C394" s="15" t="n"/>
      <c r="D394" s="14" t="n"/>
      <c r="E394" s="14" t="n"/>
      <c r="F394" s="14" t="n"/>
    </row>
    <row r="395">
      <c r="A395" s="13" t="n"/>
      <c r="B395" s="14" t="n"/>
      <c r="C395" s="15" t="n"/>
      <c r="D395" s="14" t="n"/>
      <c r="E395" s="14" t="n"/>
      <c r="F395" s="14" t="n"/>
    </row>
    <row r="396">
      <c r="A396" s="13" t="n"/>
      <c r="B396" s="14" t="n"/>
      <c r="C396" s="15" t="n"/>
      <c r="D396" s="14" t="n"/>
      <c r="E396" s="14" t="n"/>
      <c r="F396" s="14" t="n"/>
    </row>
    <row r="397">
      <c r="A397" s="13" t="n"/>
      <c r="B397" s="14" t="n"/>
      <c r="C397" s="15" t="n"/>
      <c r="D397" s="14" t="n"/>
      <c r="E397" s="14" t="n"/>
      <c r="F397" s="14" t="n"/>
    </row>
    <row r="398">
      <c r="A398" s="13" t="n"/>
      <c r="B398" s="14" t="n"/>
      <c r="C398" s="15" t="n"/>
      <c r="D398" s="14" t="n"/>
      <c r="E398" s="14" t="n"/>
      <c r="F398" s="14" t="n"/>
    </row>
    <row r="399">
      <c r="A399" s="13" t="n"/>
      <c r="B399" s="14" t="n"/>
      <c r="C399" s="15" t="n"/>
      <c r="D399" s="14" t="n"/>
      <c r="E399" s="14" t="n"/>
      <c r="F399" s="14" t="n"/>
    </row>
    <row r="400">
      <c r="A400" s="13" t="n"/>
      <c r="B400" s="14" t="n"/>
      <c r="C400" s="15" t="n"/>
      <c r="D400" s="14" t="n"/>
      <c r="E400" s="14" t="n"/>
      <c r="F400" s="14" t="n"/>
    </row>
    <row r="401">
      <c r="A401" s="13" t="n"/>
      <c r="B401" s="14" t="n"/>
      <c r="C401" s="15" t="n"/>
      <c r="D401" s="14" t="n"/>
      <c r="E401" s="14" t="n"/>
      <c r="F401" s="14" t="n"/>
    </row>
    <row r="402">
      <c r="A402" s="13" t="n"/>
      <c r="B402" s="14" t="n"/>
      <c r="C402" s="15" t="n"/>
      <c r="D402" s="14" t="n"/>
      <c r="E402" s="14" t="n"/>
      <c r="F402" s="14" t="n"/>
    </row>
    <row r="403">
      <c r="A403" s="13" t="n"/>
      <c r="B403" s="14" t="n"/>
      <c r="C403" s="15" t="n"/>
      <c r="D403" s="14" t="n"/>
      <c r="E403" s="14" t="n"/>
      <c r="F403" s="14" t="n"/>
    </row>
    <row r="404">
      <c r="A404" s="13" t="n"/>
      <c r="B404" s="14" t="n"/>
      <c r="C404" s="15" t="n"/>
      <c r="D404" s="14" t="n"/>
      <c r="E404" s="14" t="n"/>
      <c r="F404" s="14" t="n"/>
    </row>
    <row r="405">
      <c r="A405" s="13" t="n"/>
      <c r="B405" s="14" t="n"/>
      <c r="C405" s="15" t="n"/>
      <c r="D405" s="14" t="n"/>
      <c r="E405" s="14" t="n"/>
      <c r="F405" s="14" t="n"/>
    </row>
    <row r="406">
      <c r="A406" s="13" t="n"/>
      <c r="B406" s="14" t="n"/>
      <c r="C406" s="15" t="n"/>
      <c r="D406" s="14" t="n"/>
      <c r="E406" s="14" t="n"/>
      <c r="F406" s="14" t="n"/>
    </row>
    <row r="407">
      <c r="A407" s="13" t="n"/>
      <c r="B407" s="14" t="n"/>
      <c r="C407" s="15" t="n"/>
      <c r="D407" s="14" t="n"/>
      <c r="E407" s="14" t="n"/>
      <c r="F407" s="14" t="n"/>
    </row>
    <row r="408">
      <c r="A408" s="13" t="n"/>
      <c r="B408" s="14" t="n"/>
      <c r="C408" s="15" t="n"/>
      <c r="D408" s="14" t="n"/>
      <c r="E408" s="14" t="n"/>
      <c r="F408" s="14" t="n"/>
    </row>
    <row r="409">
      <c r="A409" s="13" t="n"/>
      <c r="B409" s="14" t="n"/>
      <c r="C409" s="15" t="n"/>
      <c r="D409" s="14" t="n"/>
      <c r="E409" s="14" t="n"/>
      <c r="F409" s="14" t="n"/>
    </row>
    <row r="410">
      <c r="A410" s="13" t="n"/>
      <c r="B410" s="14" t="n"/>
      <c r="C410" s="15" t="n"/>
      <c r="D410" s="14" t="n"/>
      <c r="E410" s="14" t="n"/>
      <c r="F410" s="14" t="n"/>
    </row>
    <row r="411">
      <c r="A411" s="13" t="n"/>
      <c r="B411" s="14" t="n"/>
      <c r="C411" s="15" t="n"/>
      <c r="D411" s="14" t="n"/>
      <c r="E411" s="14" t="n"/>
      <c r="F411" s="14" t="n"/>
    </row>
    <row r="412">
      <c r="A412" s="13" t="n"/>
      <c r="B412" s="14" t="n"/>
      <c r="C412" s="15" t="n"/>
      <c r="D412" s="14" t="n"/>
      <c r="E412" s="14" t="n"/>
      <c r="F412" s="14" t="n"/>
    </row>
    <row r="413">
      <c r="A413" s="13" t="n"/>
      <c r="B413" s="14" t="n"/>
      <c r="C413" s="15" t="n"/>
      <c r="D413" s="14" t="n"/>
      <c r="E413" s="14" t="n"/>
      <c r="F413" s="14" t="n"/>
    </row>
    <row r="414">
      <c r="A414" s="13" t="n"/>
      <c r="B414" s="14" t="n"/>
      <c r="C414" s="15" t="n"/>
      <c r="D414" s="14" t="n"/>
      <c r="E414" s="14" t="n"/>
      <c r="F414" s="14" t="n"/>
    </row>
    <row r="415">
      <c r="A415" s="13" t="n"/>
      <c r="B415" s="14" t="n"/>
      <c r="C415" s="15" t="n"/>
      <c r="D415" s="14" t="n"/>
      <c r="E415" s="14" t="n"/>
      <c r="F415" s="14" t="n"/>
    </row>
    <row r="416">
      <c r="A416" s="13" t="n"/>
      <c r="B416" s="14" t="n"/>
      <c r="C416" s="15" t="n"/>
      <c r="D416" s="14" t="n"/>
      <c r="E416" s="14" t="n"/>
      <c r="F416" s="14" t="n"/>
    </row>
    <row r="417">
      <c r="A417" s="13" t="n"/>
      <c r="B417" s="14" t="n"/>
      <c r="C417" s="15" t="n"/>
      <c r="D417" s="14" t="n"/>
      <c r="E417" s="14" t="n"/>
      <c r="F417" s="14" t="n"/>
    </row>
    <row r="418">
      <c r="A418" s="13" t="n"/>
      <c r="B418" s="14" t="n"/>
      <c r="C418" s="15" t="n"/>
      <c r="D418" s="14" t="n"/>
      <c r="E418" s="14" t="n"/>
      <c r="F418" s="14" t="n"/>
    </row>
    <row r="419">
      <c r="A419" s="13" t="n"/>
      <c r="B419" s="14" t="n"/>
      <c r="C419" s="15" t="n"/>
      <c r="D419" s="14" t="n"/>
      <c r="E419" s="14" t="n"/>
      <c r="F419" s="14" t="n"/>
    </row>
    <row r="420">
      <c r="A420" s="13" t="n"/>
      <c r="B420" s="14" t="n"/>
      <c r="C420" s="15" t="n"/>
      <c r="D420" s="14" t="n"/>
      <c r="E420" s="14" t="n"/>
      <c r="F420" s="14" t="n"/>
    </row>
    <row r="421">
      <c r="A421" s="13" t="n"/>
      <c r="B421" s="14" t="n"/>
      <c r="C421" s="15" t="n"/>
      <c r="D421" s="14" t="n"/>
      <c r="E421" s="14" t="n"/>
      <c r="F421" s="14" t="n"/>
    </row>
    <row r="422">
      <c r="A422" s="13" t="n"/>
      <c r="B422" s="14" t="n"/>
      <c r="C422" s="15" t="n"/>
      <c r="D422" s="14" t="n"/>
      <c r="E422" s="14" t="n"/>
      <c r="F422" s="14" t="n"/>
    </row>
    <row r="423">
      <c r="A423" s="13" t="n"/>
      <c r="B423" s="14" t="n"/>
      <c r="C423" s="15" t="n"/>
      <c r="D423" s="14" t="n"/>
      <c r="E423" s="14" t="n"/>
      <c r="F423" s="14" t="n"/>
    </row>
    <row r="424">
      <c r="A424" s="13" t="n"/>
      <c r="B424" s="14" t="n"/>
      <c r="C424" s="15" t="n"/>
      <c r="D424" s="14" t="n"/>
      <c r="E424" s="14" t="n"/>
      <c r="F424" s="14" t="n"/>
    </row>
    <row r="425">
      <c r="A425" s="13" t="n"/>
      <c r="B425" s="14" t="n"/>
      <c r="C425" s="15" t="n"/>
      <c r="D425" s="14" t="n"/>
      <c r="E425" s="14" t="n"/>
      <c r="F425" s="14" t="n"/>
    </row>
    <row r="426">
      <c r="A426" s="13" t="n"/>
      <c r="B426" s="14" t="n"/>
      <c r="C426" s="15" t="n"/>
      <c r="D426" s="14" t="n"/>
      <c r="E426" s="14" t="n"/>
      <c r="F426" s="14" t="n"/>
    </row>
    <row r="427">
      <c r="A427" s="13" t="n"/>
      <c r="B427" s="14" t="n"/>
      <c r="C427" s="15" t="n"/>
      <c r="D427" s="14" t="n"/>
      <c r="E427" s="14" t="n"/>
      <c r="F427" s="14" t="n"/>
    </row>
    <row r="428">
      <c r="A428" s="13" t="n"/>
      <c r="B428" s="14" t="n"/>
      <c r="C428" s="15" t="n"/>
      <c r="D428" s="14" t="n"/>
      <c r="E428" s="14" t="n"/>
      <c r="F428" s="14" t="n"/>
    </row>
    <row r="429">
      <c r="A429" s="13" t="n"/>
      <c r="B429" s="14" t="n"/>
      <c r="C429" s="15" t="n"/>
      <c r="D429" s="14" t="n"/>
      <c r="E429" s="14" t="n"/>
      <c r="F429" s="14" t="n"/>
    </row>
    <row r="430">
      <c r="A430" s="13" t="n"/>
      <c r="B430" s="14" t="n"/>
      <c r="C430" s="15" t="n"/>
      <c r="D430" s="14" t="n"/>
      <c r="E430" s="14" t="n"/>
      <c r="F430" s="14" t="n"/>
    </row>
    <row r="431">
      <c r="A431" s="13" t="n"/>
      <c r="B431" s="14" t="n"/>
      <c r="C431" s="15" t="n"/>
      <c r="D431" s="14" t="n"/>
      <c r="E431" s="14" t="n"/>
      <c r="F431" s="14" t="n"/>
    </row>
    <row r="432">
      <c r="A432" s="13" t="n"/>
      <c r="B432" s="14" t="n"/>
      <c r="C432" s="15" t="n"/>
      <c r="D432" s="14" t="n"/>
      <c r="E432" s="14" t="n"/>
      <c r="F432" s="14" t="n"/>
    </row>
    <row r="433">
      <c r="A433" s="13" t="n"/>
      <c r="B433" s="14" t="n"/>
      <c r="C433" s="15" t="n"/>
      <c r="D433" s="14" t="n"/>
      <c r="E433" s="14" t="n"/>
      <c r="F433" s="14" t="n"/>
    </row>
    <row r="434">
      <c r="A434" s="13" t="n"/>
      <c r="B434" s="14" t="n"/>
      <c r="C434" s="15" t="n"/>
      <c r="D434" s="14" t="n"/>
      <c r="E434" s="14" t="n"/>
      <c r="F434" s="14" t="n"/>
    </row>
    <row r="435">
      <c r="A435" s="13" t="n"/>
      <c r="B435" s="14" t="n"/>
      <c r="C435" s="15" t="n"/>
      <c r="D435" s="14" t="n"/>
      <c r="E435" s="14" t="n"/>
      <c r="F435" s="14" t="n"/>
    </row>
    <row r="436">
      <c r="A436" s="13" t="n"/>
      <c r="B436" s="14" t="n"/>
      <c r="C436" s="15" t="n"/>
      <c r="D436" s="14" t="n"/>
      <c r="E436" s="14" t="n"/>
      <c r="F436" s="14" t="n"/>
    </row>
    <row r="437">
      <c r="A437" s="13" t="n"/>
      <c r="B437" s="14" t="n"/>
      <c r="C437" s="15" t="n"/>
      <c r="D437" s="14" t="n"/>
      <c r="E437" s="14" t="n"/>
      <c r="F437" s="14" t="n"/>
    </row>
    <row r="438">
      <c r="A438" s="13" t="n"/>
      <c r="B438" s="14" t="n"/>
      <c r="C438" s="15" t="n"/>
      <c r="D438" s="14" t="n"/>
      <c r="E438" s="14" t="n"/>
      <c r="F438" s="14" t="n"/>
    </row>
    <row r="439">
      <c r="A439" s="13" t="n"/>
      <c r="B439" s="14" t="n"/>
      <c r="C439" s="15" t="n"/>
      <c r="D439" s="14" t="n"/>
      <c r="E439" s="14" t="n"/>
      <c r="F439" s="14" t="n"/>
    </row>
    <row r="440">
      <c r="A440" s="13" t="n"/>
      <c r="B440" s="14" t="n"/>
      <c r="C440" s="15" t="n"/>
      <c r="D440" s="14" t="n"/>
      <c r="E440" s="14" t="n"/>
      <c r="F440" s="14" t="n"/>
    </row>
    <row r="441">
      <c r="A441" s="13" t="n"/>
      <c r="B441" s="14" t="n"/>
      <c r="C441" s="15" t="n"/>
      <c r="D441" s="14" t="n"/>
      <c r="E441" s="14" t="n"/>
      <c r="F441" s="14" t="n"/>
    </row>
    <row r="442">
      <c r="A442" s="13" t="n"/>
      <c r="B442" s="14" t="n"/>
      <c r="C442" s="15" t="n"/>
      <c r="D442" s="14" t="n"/>
      <c r="E442" s="14" t="n"/>
      <c r="F442" s="14" t="n"/>
    </row>
    <row r="443">
      <c r="A443" s="13" t="n"/>
      <c r="B443" s="14" t="n"/>
      <c r="C443" s="15" t="n"/>
      <c r="D443" s="14" t="n"/>
      <c r="E443" s="14" t="n"/>
      <c r="F443" s="14" t="n"/>
    </row>
    <row r="444">
      <c r="A444" s="13" t="n"/>
      <c r="B444" s="14" t="n"/>
      <c r="C444" s="15" t="n"/>
      <c r="D444" s="14" t="n"/>
      <c r="E444" s="14" t="n"/>
      <c r="F444" s="14" t="n"/>
    </row>
    <row r="445">
      <c r="A445" s="13" t="n"/>
      <c r="B445" s="14" t="n"/>
      <c r="C445" s="15" t="n"/>
      <c r="D445" s="14" t="n"/>
      <c r="E445" s="14" t="n"/>
      <c r="F445" s="14" t="n"/>
    </row>
    <row r="446">
      <c r="A446" s="13" t="n"/>
      <c r="B446" s="14" t="n"/>
      <c r="C446" s="15" t="n"/>
      <c r="D446" s="14" t="n"/>
      <c r="E446" s="14" t="n"/>
      <c r="F446" s="14" t="n"/>
    </row>
    <row r="447">
      <c r="A447" s="13" t="n"/>
      <c r="B447" s="14" t="n"/>
      <c r="C447" s="15" t="n"/>
      <c r="D447" s="14" t="n"/>
      <c r="E447" s="14" t="n"/>
      <c r="F447" s="14" t="n"/>
    </row>
    <row r="448">
      <c r="A448" s="13" t="n"/>
      <c r="B448" s="14" t="n"/>
      <c r="C448" s="15" t="n"/>
      <c r="D448" s="14" t="n"/>
      <c r="E448" s="14" t="n"/>
      <c r="F448" s="14" t="n"/>
    </row>
    <row r="449">
      <c r="A449" s="13" t="n"/>
      <c r="B449" s="14" t="n"/>
      <c r="C449" s="15" t="n"/>
      <c r="D449" s="14" t="n"/>
      <c r="E449" s="14" t="n"/>
      <c r="F449" s="14" t="n"/>
    </row>
    <row r="450">
      <c r="A450" s="13" t="n"/>
      <c r="B450" s="14" t="n"/>
      <c r="C450" s="15" t="n"/>
      <c r="D450" s="14" t="n"/>
      <c r="E450" s="14" t="n"/>
      <c r="F450" s="14" t="n"/>
    </row>
    <row r="451">
      <c r="A451" s="13" t="n"/>
      <c r="B451" s="14" t="n"/>
      <c r="C451" s="15" t="n"/>
      <c r="D451" s="14" t="n"/>
      <c r="E451" s="14" t="n"/>
      <c r="F451" s="14" t="n"/>
    </row>
    <row r="452">
      <c r="A452" s="13" t="n"/>
      <c r="B452" s="14" t="n"/>
      <c r="C452" s="15" t="n"/>
      <c r="D452" s="14" t="n"/>
      <c r="E452" s="14" t="n"/>
      <c r="F452" s="14" t="n"/>
    </row>
    <row r="453">
      <c r="A453" s="13" t="n"/>
      <c r="B453" s="14" t="n"/>
      <c r="C453" s="15" t="n"/>
      <c r="D453" s="14" t="n"/>
      <c r="E453" s="14" t="n"/>
      <c r="F453" s="14" t="n"/>
    </row>
    <row r="454">
      <c r="A454" s="13" t="n"/>
      <c r="B454" s="14" t="n"/>
      <c r="C454" s="15" t="n"/>
      <c r="D454" s="14" t="n"/>
      <c r="E454" s="14" t="n"/>
      <c r="F454" s="14" t="n"/>
    </row>
    <row r="455">
      <c r="A455" s="13" t="n"/>
      <c r="B455" s="14" t="n"/>
      <c r="C455" s="15" t="n"/>
      <c r="D455" s="14" t="n"/>
      <c r="E455" s="14" t="n"/>
      <c r="F455" s="14" t="n"/>
    </row>
    <row r="456">
      <c r="A456" s="13" t="n"/>
      <c r="B456" s="14" t="n"/>
      <c r="C456" s="15" t="n"/>
      <c r="D456" s="14" t="n"/>
      <c r="E456" s="14" t="n"/>
      <c r="F456" s="14" t="n"/>
    </row>
    <row r="457">
      <c r="A457" s="13" t="n"/>
      <c r="B457" s="14" t="n"/>
      <c r="C457" s="15" t="n"/>
      <c r="D457" s="14" t="n"/>
      <c r="E457" s="14" t="n"/>
      <c r="F457" s="14" t="n"/>
    </row>
    <row r="458">
      <c r="A458" s="13" t="n"/>
      <c r="B458" s="14" t="n"/>
      <c r="C458" s="15" t="n"/>
      <c r="D458" s="14" t="n"/>
      <c r="E458" s="14" t="n"/>
      <c r="F458" s="14" t="n"/>
    </row>
    <row r="459">
      <c r="A459" s="13" t="n"/>
      <c r="B459" s="14" t="n"/>
      <c r="C459" s="15" t="n"/>
      <c r="D459" s="14" t="n"/>
      <c r="E459" s="14" t="n"/>
      <c r="F459" s="14" t="n"/>
    </row>
    <row r="460">
      <c r="A460" s="13" t="n"/>
      <c r="B460" s="14" t="n"/>
      <c r="C460" s="15" t="n"/>
      <c r="D460" s="14" t="n"/>
      <c r="E460" s="14" t="n"/>
      <c r="F460" s="14" t="n"/>
    </row>
    <row r="461">
      <c r="A461" s="13" t="n"/>
      <c r="B461" s="14" t="n"/>
      <c r="C461" s="15" t="n"/>
      <c r="D461" s="14" t="n"/>
      <c r="E461" s="14" t="n"/>
      <c r="F461" s="14" t="n"/>
    </row>
    <row r="462">
      <c r="A462" s="13" t="n"/>
      <c r="B462" s="14" t="n"/>
      <c r="C462" s="15" t="n"/>
      <c r="D462" s="14" t="n"/>
      <c r="E462" s="14" t="n"/>
      <c r="F462" s="14" t="n"/>
    </row>
    <row r="463">
      <c r="A463" s="13" t="n"/>
      <c r="B463" s="14" t="n"/>
      <c r="C463" s="15" t="n"/>
      <c r="D463" s="14" t="n"/>
      <c r="E463" s="14" t="n"/>
      <c r="F463" s="14" t="n"/>
    </row>
    <row r="464">
      <c r="A464" s="13" t="n"/>
      <c r="B464" s="14" t="n"/>
      <c r="C464" s="15" t="n"/>
      <c r="D464" s="14" t="n"/>
      <c r="E464" s="14" t="n"/>
      <c r="F464" s="14" t="n"/>
    </row>
    <row r="465">
      <c r="A465" s="13" t="n"/>
      <c r="B465" s="14" t="n"/>
      <c r="C465" s="15" t="n"/>
      <c r="D465" s="14" t="n"/>
      <c r="E465" s="14" t="n"/>
      <c r="F465" s="14" t="n"/>
    </row>
    <row r="466">
      <c r="A466" s="13" t="n"/>
      <c r="B466" s="14" t="n"/>
      <c r="C466" s="15" t="n"/>
      <c r="D466" s="14" t="n"/>
      <c r="E466" s="14" t="n"/>
      <c r="F466" s="14" t="n"/>
    </row>
    <row r="467">
      <c r="A467" s="13" t="n"/>
      <c r="B467" s="14" t="n"/>
      <c r="C467" s="15" t="n"/>
      <c r="D467" s="14" t="n"/>
      <c r="E467" s="14" t="n"/>
      <c r="F467" s="14" t="n"/>
    </row>
    <row r="468">
      <c r="A468" s="13" t="n"/>
      <c r="B468" s="14" t="n"/>
      <c r="C468" s="15" t="n"/>
      <c r="D468" s="14" t="n"/>
      <c r="E468" s="14" t="n"/>
      <c r="F468" s="14" t="n"/>
    </row>
    <row r="469">
      <c r="A469" s="13" t="n"/>
      <c r="B469" s="14" t="n"/>
      <c r="C469" s="15" t="n"/>
      <c r="D469" s="14" t="n"/>
      <c r="E469" s="14" t="n"/>
      <c r="F469" s="14" t="n"/>
    </row>
    <row r="470">
      <c r="A470" s="13" t="n"/>
      <c r="B470" s="14" t="n"/>
      <c r="C470" s="15" t="n"/>
      <c r="D470" s="14" t="n"/>
      <c r="E470" s="14" t="n"/>
      <c r="F470" s="14" t="n"/>
    </row>
    <row r="471">
      <c r="A471" s="13" t="n"/>
      <c r="B471" s="14" t="n"/>
      <c r="C471" s="15" t="n"/>
      <c r="D471" s="14" t="n"/>
      <c r="E471" s="14" t="n"/>
      <c r="F471" s="14" t="n"/>
    </row>
    <row r="472">
      <c r="A472" s="13" t="n"/>
      <c r="B472" s="14" t="n"/>
      <c r="C472" s="15" t="n"/>
      <c r="D472" s="14" t="n"/>
      <c r="E472" s="14" t="n"/>
      <c r="F472" s="14" t="n"/>
    </row>
    <row r="473">
      <c r="A473" s="13" t="n"/>
      <c r="B473" s="14" t="n"/>
      <c r="C473" s="15" t="n"/>
      <c r="D473" s="14" t="n"/>
      <c r="E473" s="14" t="n"/>
      <c r="F473" s="14" t="n"/>
    </row>
    <row r="474">
      <c r="A474" s="13" t="n"/>
      <c r="B474" s="14" t="n"/>
      <c r="C474" s="15" t="n"/>
      <c r="D474" s="14" t="n"/>
      <c r="E474" s="14" t="n"/>
      <c r="F474" s="14" t="n"/>
    </row>
    <row r="475">
      <c r="A475" s="13" t="n"/>
      <c r="B475" s="14" t="n"/>
      <c r="C475" s="15" t="n"/>
      <c r="D475" s="14" t="n"/>
      <c r="E475" s="14" t="n"/>
      <c r="F475" s="14" t="n"/>
    </row>
    <row r="476">
      <c r="A476" s="13" t="n"/>
      <c r="B476" s="14" t="n"/>
      <c r="C476" s="15" t="n"/>
      <c r="D476" s="14" t="n"/>
      <c r="E476" s="14" t="n"/>
      <c r="F476" s="14" t="n"/>
    </row>
    <row r="477">
      <c r="A477" s="13" t="n"/>
      <c r="B477" s="14" t="n"/>
      <c r="C477" s="15" t="n"/>
      <c r="D477" s="14" t="n"/>
      <c r="E477" s="14" t="n"/>
      <c r="F477" s="14" t="n"/>
    </row>
    <row r="478">
      <c r="A478" s="13" t="n"/>
      <c r="B478" s="14" t="n"/>
      <c r="C478" s="15" t="n"/>
      <c r="D478" s="14" t="n"/>
      <c r="E478" s="14" t="n"/>
      <c r="F478" s="14" t="n"/>
    </row>
    <row r="479">
      <c r="A479" s="13" t="n"/>
      <c r="B479" s="14" t="n"/>
      <c r="C479" s="15" t="n"/>
      <c r="D479" s="14" t="n"/>
      <c r="E479" s="14" t="n"/>
      <c r="F479" s="14" t="n"/>
    </row>
    <row r="480">
      <c r="A480" s="13" t="n"/>
      <c r="B480" s="14" t="n"/>
      <c r="C480" s="15" t="n"/>
      <c r="D480" s="14" t="n"/>
      <c r="E480" s="14" t="n"/>
      <c r="F480" s="14" t="n"/>
    </row>
    <row r="481">
      <c r="A481" s="13" t="n"/>
      <c r="B481" s="14" t="n"/>
      <c r="C481" s="15" t="n"/>
      <c r="D481" s="14" t="n"/>
      <c r="E481" s="14" t="n"/>
      <c r="F481" s="14" t="n"/>
    </row>
    <row r="482">
      <c r="A482" s="13" t="n"/>
      <c r="B482" s="14" t="n"/>
      <c r="C482" s="15" t="n"/>
      <c r="D482" s="14" t="n"/>
      <c r="E482" s="14" t="n"/>
      <c r="F482" s="14" t="n"/>
    </row>
    <row r="483">
      <c r="A483" s="13" t="n"/>
      <c r="B483" s="14" t="n"/>
      <c r="C483" s="15" t="n"/>
      <c r="D483" s="14" t="n"/>
      <c r="E483" s="14" t="n"/>
      <c r="F483" s="14" t="n"/>
    </row>
    <row r="484">
      <c r="A484" s="13" t="n"/>
      <c r="B484" s="14" t="n"/>
      <c r="C484" s="15" t="n"/>
      <c r="D484" s="14" t="n"/>
      <c r="E484" s="14" t="n"/>
      <c r="F484" s="14" t="n"/>
    </row>
    <row r="485">
      <c r="A485" s="13" t="n"/>
      <c r="B485" s="14" t="n"/>
      <c r="C485" s="15" t="n"/>
      <c r="D485" s="14" t="n"/>
      <c r="E485" s="14" t="n"/>
      <c r="F485" s="14" t="n"/>
    </row>
    <row r="486">
      <c r="A486" s="13" t="n"/>
      <c r="B486" s="14" t="n"/>
      <c r="C486" s="15" t="n"/>
      <c r="D486" s="14" t="n"/>
      <c r="E486" s="14" t="n"/>
      <c r="F486" s="14" t="n"/>
    </row>
    <row r="487">
      <c r="A487" s="13" t="n"/>
      <c r="B487" s="14" t="n"/>
      <c r="C487" s="15" t="n"/>
      <c r="D487" s="14" t="n"/>
      <c r="E487" s="14" t="n"/>
      <c r="F487" s="14" t="n"/>
    </row>
    <row r="488">
      <c r="A488" s="13" t="n"/>
      <c r="B488" s="14" t="n"/>
      <c r="C488" s="15" t="n"/>
      <c r="D488" s="14" t="n"/>
      <c r="E488" s="14" t="n"/>
      <c r="F488" s="14" t="n"/>
    </row>
    <row r="489">
      <c r="A489" s="13" t="n"/>
      <c r="B489" s="14" t="n"/>
      <c r="C489" s="15" t="n"/>
      <c r="D489" s="14" t="n"/>
      <c r="E489" s="14" t="n"/>
      <c r="F489" s="14" t="n"/>
    </row>
    <row r="490">
      <c r="A490" s="13" t="n"/>
      <c r="B490" s="14" t="n"/>
      <c r="C490" s="15" t="n"/>
      <c r="D490" s="14" t="n"/>
      <c r="E490" s="14" t="n"/>
      <c r="F490" s="14" t="n"/>
    </row>
    <row r="491">
      <c r="A491" s="13" t="n"/>
      <c r="B491" s="14" t="n"/>
      <c r="C491" s="15" t="n"/>
      <c r="D491" s="14" t="n"/>
      <c r="E491" s="14" t="n"/>
      <c r="F491" s="14" t="n"/>
    </row>
    <row r="492">
      <c r="A492" s="13" t="n"/>
      <c r="B492" s="14" t="n"/>
      <c r="C492" s="15" t="n"/>
      <c r="D492" s="14" t="n"/>
      <c r="E492" s="14" t="n"/>
      <c r="F492" s="14" t="n"/>
    </row>
    <row r="493">
      <c r="A493" s="13" t="n"/>
      <c r="B493" s="14" t="n"/>
      <c r="C493" s="15" t="n"/>
      <c r="D493" s="14" t="n"/>
      <c r="E493" s="14" t="n"/>
      <c r="F493" s="14" t="n"/>
    </row>
    <row r="494">
      <c r="A494" s="13" t="n"/>
      <c r="B494" s="14" t="n"/>
      <c r="C494" s="15" t="n"/>
      <c r="D494" s="14" t="n"/>
      <c r="E494" s="14" t="n"/>
      <c r="F494" s="14" t="n"/>
    </row>
    <row r="495">
      <c r="A495" s="13" t="n"/>
      <c r="B495" s="14" t="n"/>
      <c r="C495" s="15" t="n"/>
      <c r="D495" s="14" t="n"/>
      <c r="E495" s="14" t="n"/>
      <c r="F495" s="14" t="n"/>
    </row>
    <row r="496">
      <c r="A496" s="13" t="n"/>
      <c r="B496" s="14" t="n"/>
      <c r="C496" s="15" t="n"/>
      <c r="D496" s="14" t="n"/>
      <c r="E496" s="14" t="n"/>
      <c r="F496" s="14" t="n"/>
    </row>
    <row r="497">
      <c r="A497" s="13" t="n"/>
      <c r="B497" s="14" t="n"/>
      <c r="C497" s="15" t="n"/>
      <c r="D497" s="14" t="n"/>
      <c r="E497" s="14" t="n"/>
      <c r="F497" s="14" t="n"/>
    </row>
    <row r="498">
      <c r="A498" s="13" t="n"/>
      <c r="B498" s="14" t="n"/>
      <c r="C498" s="15" t="n"/>
      <c r="D498" s="14" t="n"/>
      <c r="E498" s="14" t="n"/>
      <c r="F498" s="14" t="n"/>
    </row>
    <row r="499">
      <c r="A499" s="13" t="n"/>
      <c r="B499" s="14" t="n"/>
      <c r="C499" s="15" t="n"/>
      <c r="D499" s="14" t="n"/>
      <c r="E499" s="14" t="n"/>
      <c r="F499" s="14" t="n"/>
    </row>
    <row r="500">
      <c r="A500" s="13" t="n"/>
      <c r="B500" s="14" t="n"/>
      <c r="C500" s="15" t="n"/>
      <c r="D500" s="14" t="n"/>
      <c r="E500" s="14" t="n"/>
      <c r="F500" s="14" t="n"/>
    </row>
    <row r="501">
      <c r="A501" s="13" t="n"/>
      <c r="B501" s="14" t="n"/>
      <c r="C501" s="15" t="n"/>
      <c r="D501" s="14" t="n"/>
      <c r="E501" s="14" t="n"/>
      <c r="F501" s="14" t="n"/>
    </row>
    <row r="502">
      <c r="A502" s="13" t="n"/>
      <c r="B502" s="14" t="n"/>
      <c r="C502" s="15" t="n"/>
      <c r="D502" s="14" t="n"/>
      <c r="E502" s="14" t="n"/>
      <c r="F502" s="14" t="n"/>
    </row>
    <row r="503">
      <c r="A503" s="13" t="n"/>
      <c r="B503" s="14" t="n"/>
      <c r="C503" s="15" t="n"/>
      <c r="D503" s="14" t="n"/>
      <c r="E503" s="14" t="n"/>
      <c r="F503" s="14" t="n"/>
    </row>
    <row r="504">
      <c r="A504" s="13" t="n"/>
      <c r="B504" s="14" t="n"/>
      <c r="C504" s="15" t="n"/>
      <c r="D504" s="14" t="n"/>
      <c r="E504" s="14" t="n"/>
      <c r="F504" s="14" t="n"/>
    </row>
  </sheetData>
  <autoFilter ref="A4:F504"/>
  <dataValidations count="4">
    <dataValidation sqref="B5:B504" showDropDown="0" showInputMessage="0" showErrorMessage="1" allowBlank="1" error="Pick a client from the list (add new ones on the Clients tab)." type="list">
      <formula1>=Clients!$A$5:$A$504</formula1>
    </dataValidation>
    <dataValidation sqref="D5:D504" showDropDown="0" showInputMessage="0" showErrorMessage="0" allowBlank="1" type="list">
      <formula1>=Lists!$A$2:$A$20</formula1>
    </dataValidation>
    <dataValidation sqref="A5:A504" showDropDown="0" showInputMessage="0" showErrorMessage="1" allowBlank="1" error="Enter a valid date (e.g. 10/05/2026)." type="date" operator="greaterThan">
      <formula1>DATE(2000,1,1)</formula1>
    </dataValidation>
    <dataValidation sqref="C5:C504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16" customWidth="1" min="4" max="4"/>
    <col width="16" customWidth="1" min="5" max="5"/>
    <col width="14" customWidth="1" min="6" max="6"/>
    <col width="14" customWidth="1" min="7" max="7"/>
    <col width="36" customWidth="1" min="8" max="8"/>
  </cols>
  <sheetData>
    <row r="1">
      <c r="A1" s="1" t="inlineStr">
        <is>
          <t>Clients</t>
        </is>
      </c>
    </row>
    <row r="2">
      <c r="A2" s="7" t="inlineStr">
        <is>
          <t>Blue columns are yours to fill in. Black columns (Total Paid, # Payments, Last Payment) calculate automatically from the Payments tab.</t>
        </is>
      </c>
    </row>
    <row r="4">
      <c r="A4" s="12" t="inlineStr">
        <is>
          <t>Client Name</t>
        </is>
      </c>
      <c r="B4" s="12" t="inlineStr">
        <is>
          <t>Contact Person</t>
        </is>
      </c>
      <c r="C4" s="12" t="inlineStr">
        <is>
          <t>Email</t>
        </is>
      </c>
      <c r="D4" s="12" t="inlineStr">
        <is>
          <t>Phone</t>
        </is>
      </c>
      <c r="E4" s="12" t="inlineStr">
        <is>
          <t>Total Paid ($)</t>
        </is>
      </c>
      <c r="F4" s="12" t="inlineStr">
        <is>
          <t># of Payments</t>
        </is>
      </c>
      <c r="G4" s="12" t="inlineStr">
        <is>
          <t>Last Payment</t>
        </is>
      </c>
      <c r="H4" s="12" t="inlineStr">
        <is>
          <t>Notes</t>
        </is>
      </c>
    </row>
    <row r="5">
      <c r="A5" s="14" t="inlineStr">
        <is>
          <t>Example Client LLC</t>
        </is>
      </c>
      <c r="B5" s="14" t="inlineStr">
        <is>
          <t>Jane Doe</t>
        </is>
      </c>
      <c r="C5" s="14" t="inlineStr">
        <is>
          <t>jane@example.com</t>
        </is>
      </c>
      <c r="D5" s="14" t="inlineStr">
        <is>
          <t>(555) 123-4567</t>
        </is>
      </c>
      <c r="E5" s="3">
        <f>IF(A5="","",SUMIFS(Payments!$C$5:$C$504,Payments!$B$5:$B$504,A5))</f>
        <v/>
      </c>
      <c r="F5" s="9">
        <f>IF(A5="","",COUNTIFS(Payments!$B$5:$B$504,A5))</f>
        <v/>
      </c>
      <c r="G5" s="5">
        <f>IF(OR(A5="",F5=0),"",_xlfn.MAXIFS(Payments!$A$5:$A$504,Payments!$B$5:$B$504,A5))</f>
        <v/>
      </c>
      <c r="H5" s="14" t="n"/>
    </row>
    <row r="6">
      <c r="A6" s="14" t="n"/>
      <c r="B6" s="14" t="n"/>
      <c r="C6" s="14" t="n"/>
      <c r="D6" s="14" t="n"/>
      <c r="E6" s="3">
        <f>IF(A6="","",SUMIFS(Payments!$C$5:$C$504,Payments!$B$5:$B$504,A6))</f>
        <v/>
      </c>
      <c r="F6" s="9">
        <f>IF(A6="","",COUNTIFS(Payments!$B$5:$B$504,A6))</f>
        <v/>
      </c>
      <c r="G6" s="5">
        <f>IF(OR(A6="",F6=0),"",_xlfn.MAXIFS(Payments!$A$5:$A$504,Payments!$B$5:$B$504,A6))</f>
        <v/>
      </c>
      <c r="H6" s="14" t="n"/>
    </row>
    <row r="7">
      <c r="A7" s="14" t="n"/>
      <c r="B7" s="14" t="n"/>
      <c r="C7" s="14" t="n"/>
      <c r="D7" s="14" t="n"/>
      <c r="E7" s="3">
        <f>IF(A7="","",SUMIFS(Payments!$C$5:$C$504,Payments!$B$5:$B$504,A7))</f>
        <v/>
      </c>
      <c r="F7" s="9">
        <f>IF(A7="","",COUNTIFS(Payments!$B$5:$B$504,A7))</f>
        <v/>
      </c>
      <c r="G7" s="5">
        <f>IF(OR(A7="",F7=0),"",_xlfn.MAXIFS(Payments!$A$5:$A$504,Payments!$B$5:$B$504,A7))</f>
        <v/>
      </c>
      <c r="H7" s="14" t="n"/>
    </row>
    <row r="8">
      <c r="A8" s="14" t="n"/>
      <c r="B8" s="14" t="n"/>
      <c r="C8" s="14" t="n"/>
      <c r="D8" s="14" t="n"/>
      <c r="E8" s="3">
        <f>IF(A8="","",SUMIFS(Payments!$C$5:$C$504,Payments!$B$5:$B$504,A8))</f>
        <v/>
      </c>
      <c r="F8" s="9">
        <f>IF(A8="","",COUNTIFS(Payments!$B$5:$B$504,A8))</f>
        <v/>
      </c>
      <c r="G8" s="5">
        <f>IF(OR(A8="",F8=0),"",_xlfn.MAXIFS(Payments!$A$5:$A$504,Payments!$B$5:$B$504,A8))</f>
        <v/>
      </c>
      <c r="H8" s="14" t="n"/>
    </row>
    <row r="9">
      <c r="A9" s="14" t="n"/>
      <c r="B9" s="14" t="n"/>
      <c r="C9" s="14" t="n"/>
      <c r="D9" s="14" t="n"/>
      <c r="E9" s="3">
        <f>IF(A9="","",SUMIFS(Payments!$C$5:$C$504,Payments!$B$5:$B$504,A9))</f>
        <v/>
      </c>
      <c r="F9" s="9">
        <f>IF(A9="","",COUNTIFS(Payments!$B$5:$B$504,A9))</f>
        <v/>
      </c>
      <c r="G9" s="5">
        <f>IF(OR(A9="",F9=0),"",_xlfn.MAXIFS(Payments!$A$5:$A$504,Payments!$B$5:$B$504,A9))</f>
        <v/>
      </c>
      <c r="H9" s="14" t="n"/>
    </row>
    <row r="10">
      <c r="A10" s="14" t="n"/>
      <c r="B10" s="14" t="n"/>
      <c r="C10" s="14" t="n"/>
      <c r="D10" s="14" t="n"/>
      <c r="E10" s="3">
        <f>IF(A10="","",SUMIFS(Payments!$C$5:$C$504,Payments!$B$5:$B$504,A10))</f>
        <v/>
      </c>
      <c r="F10" s="9">
        <f>IF(A10="","",COUNTIFS(Payments!$B$5:$B$504,A10))</f>
        <v/>
      </c>
      <c r="G10" s="5">
        <f>IF(OR(A10="",F10=0),"",_xlfn.MAXIFS(Payments!$A$5:$A$504,Payments!$B$5:$B$504,A10))</f>
        <v/>
      </c>
      <c r="H10" s="14" t="n"/>
    </row>
    <row r="11">
      <c r="A11" s="14" t="n"/>
      <c r="B11" s="14" t="n"/>
      <c r="C11" s="14" t="n"/>
      <c r="D11" s="14" t="n"/>
      <c r="E11" s="3">
        <f>IF(A11="","",SUMIFS(Payments!$C$5:$C$504,Payments!$B$5:$B$504,A11))</f>
        <v/>
      </c>
      <c r="F11" s="9">
        <f>IF(A11="","",COUNTIFS(Payments!$B$5:$B$504,A11))</f>
        <v/>
      </c>
      <c r="G11" s="5">
        <f>IF(OR(A11="",F11=0),"",_xlfn.MAXIFS(Payments!$A$5:$A$504,Payments!$B$5:$B$504,A11))</f>
        <v/>
      </c>
      <c r="H11" s="14" t="n"/>
    </row>
    <row r="12">
      <c r="A12" s="14" t="n"/>
      <c r="B12" s="14" t="n"/>
      <c r="C12" s="14" t="n"/>
      <c r="D12" s="14" t="n"/>
      <c r="E12" s="3">
        <f>IF(A12="","",SUMIFS(Payments!$C$5:$C$504,Payments!$B$5:$B$504,A12))</f>
        <v/>
      </c>
      <c r="F12" s="9">
        <f>IF(A12="","",COUNTIFS(Payments!$B$5:$B$504,A12))</f>
        <v/>
      </c>
      <c r="G12" s="5">
        <f>IF(OR(A12="",F12=0),"",_xlfn.MAXIFS(Payments!$A$5:$A$504,Payments!$B$5:$B$504,A12))</f>
        <v/>
      </c>
      <c r="H12" s="14" t="n"/>
    </row>
    <row r="13">
      <c r="A13" s="14" t="n"/>
      <c r="B13" s="14" t="n"/>
      <c r="C13" s="14" t="n"/>
      <c r="D13" s="14" t="n"/>
      <c r="E13" s="3">
        <f>IF(A13="","",SUMIFS(Payments!$C$5:$C$504,Payments!$B$5:$B$504,A13))</f>
        <v/>
      </c>
      <c r="F13" s="9">
        <f>IF(A13="","",COUNTIFS(Payments!$B$5:$B$504,A13))</f>
        <v/>
      </c>
      <c r="G13" s="5">
        <f>IF(OR(A13="",F13=0),"",_xlfn.MAXIFS(Payments!$A$5:$A$504,Payments!$B$5:$B$504,A13))</f>
        <v/>
      </c>
      <c r="H13" s="14" t="n"/>
    </row>
    <row r="14">
      <c r="A14" s="14" t="n"/>
      <c r="B14" s="14" t="n"/>
      <c r="C14" s="14" t="n"/>
      <c r="D14" s="14" t="n"/>
      <c r="E14" s="3">
        <f>IF(A14="","",SUMIFS(Payments!$C$5:$C$504,Payments!$B$5:$B$504,A14))</f>
        <v/>
      </c>
      <c r="F14" s="9">
        <f>IF(A14="","",COUNTIFS(Payments!$B$5:$B$504,A14))</f>
        <v/>
      </c>
      <c r="G14" s="5">
        <f>IF(OR(A14="",F14=0),"",_xlfn.MAXIFS(Payments!$A$5:$A$504,Payments!$B$5:$B$504,A14))</f>
        <v/>
      </c>
      <c r="H14" s="14" t="n"/>
    </row>
    <row r="15">
      <c r="A15" s="14" t="n"/>
      <c r="B15" s="14" t="n"/>
      <c r="C15" s="14" t="n"/>
      <c r="D15" s="14" t="n"/>
      <c r="E15" s="3">
        <f>IF(A15="","",SUMIFS(Payments!$C$5:$C$504,Payments!$B$5:$B$504,A15))</f>
        <v/>
      </c>
      <c r="F15" s="9">
        <f>IF(A15="","",COUNTIFS(Payments!$B$5:$B$504,A15))</f>
        <v/>
      </c>
      <c r="G15" s="5">
        <f>IF(OR(A15="",F15=0),"",_xlfn.MAXIFS(Payments!$A$5:$A$504,Payments!$B$5:$B$504,A15))</f>
        <v/>
      </c>
      <c r="H15" s="14" t="n"/>
    </row>
    <row r="16">
      <c r="A16" s="14" t="n"/>
      <c r="B16" s="14" t="n"/>
      <c r="C16" s="14" t="n"/>
      <c r="D16" s="14" t="n"/>
      <c r="E16" s="3">
        <f>IF(A16="","",SUMIFS(Payments!$C$5:$C$504,Payments!$B$5:$B$504,A16))</f>
        <v/>
      </c>
      <c r="F16" s="9">
        <f>IF(A16="","",COUNTIFS(Payments!$B$5:$B$504,A16))</f>
        <v/>
      </c>
      <c r="G16" s="5">
        <f>IF(OR(A16="",F16=0),"",_xlfn.MAXIFS(Payments!$A$5:$A$504,Payments!$B$5:$B$504,A16))</f>
        <v/>
      </c>
      <c r="H16" s="14" t="n"/>
    </row>
    <row r="17">
      <c r="A17" s="14" t="n"/>
      <c r="B17" s="14" t="n"/>
      <c r="C17" s="14" t="n"/>
      <c r="D17" s="14" t="n"/>
      <c r="E17" s="3">
        <f>IF(A17="","",SUMIFS(Payments!$C$5:$C$504,Payments!$B$5:$B$504,A17))</f>
        <v/>
      </c>
      <c r="F17" s="9">
        <f>IF(A17="","",COUNTIFS(Payments!$B$5:$B$504,A17))</f>
        <v/>
      </c>
      <c r="G17" s="5">
        <f>IF(OR(A17="",F17=0),"",_xlfn.MAXIFS(Payments!$A$5:$A$504,Payments!$B$5:$B$504,A17))</f>
        <v/>
      </c>
      <c r="H17" s="14" t="n"/>
    </row>
    <row r="18">
      <c r="A18" s="14" t="n"/>
      <c r="B18" s="14" t="n"/>
      <c r="C18" s="14" t="n"/>
      <c r="D18" s="14" t="n"/>
      <c r="E18" s="3">
        <f>IF(A18="","",SUMIFS(Payments!$C$5:$C$504,Payments!$B$5:$B$504,A18))</f>
        <v/>
      </c>
      <c r="F18" s="9">
        <f>IF(A18="","",COUNTIFS(Payments!$B$5:$B$504,A18))</f>
        <v/>
      </c>
      <c r="G18" s="5">
        <f>IF(OR(A18="",F18=0),"",_xlfn.MAXIFS(Payments!$A$5:$A$504,Payments!$B$5:$B$504,A18))</f>
        <v/>
      </c>
      <c r="H18" s="14" t="n"/>
    </row>
    <row r="19">
      <c r="A19" s="14" t="n"/>
      <c r="B19" s="14" t="n"/>
      <c r="C19" s="14" t="n"/>
      <c r="D19" s="14" t="n"/>
      <c r="E19" s="3">
        <f>IF(A19="","",SUMIFS(Payments!$C$5:$C$504,Payments!$B$5:$B$504,A19))</f>
        <v/>
      </c>
      <c r="F19" s="9">
        <f>IF(A19="","",COUNTIFS(Payments!$B$5:$B$504,A19))</f>
        <v/>
      </c>
      <c r="G19" s="5">
        <f>IF(OR(A19="",F19=0),"",_xlfn.MAXIFS(Payments!$A$5:$A$504,Payments!$B$5:$B$504,A19))</f>
        <v/>
      </c>
      <c r="H19" s="14" t="n"/>
    </row>
    <row r="20">
      <c r="A20" s="14" t="n"/>
      <c r="B20" s="14" t="n"/>
      <c r="C20" s="14" t="n"/>
      <c r="D20" s="14" t="n"/>
      <c r="E20" s="3">
        <f>IF(A20="","",SUMIFS(Payments!$C$5:$C$504,Payments!$B$5:$B$504,A20))</f>
        <v/>
      </c>
      <c r="F20" s="9">
        <f>IF(A20="","",COUNTIFS(Payments!$B$5:$B$504,A20))</f>
        <v/>
      </c>
      <c r="G20" s="5">
        <f>IF(OR(A20="",F20=0),"",_xlfn.MAXIFS(Payments!$A$5:$A$504,Payments!$B$5:$B$504,A20))</f>
        <v/>
      </c>
      <c r="H20" s="14" t="n"/>
    </row>
    <row r="21">
      <c r="A21" s="14" t="n"/>
      <c r="B21" s="14" t="n"/>
      <c r="C21" s="14" t="n"/>
      <c r="D21" s="14" t="n"/>
      <c r="E21" s="3">
        <f>IF(A21="","",SUMIFS(Payments!$C$5:$C$504,Payments!$B$5:$B$504,A21))</f>
        <v/>
      </c>
      <c r="F21" s="9">
        <f>IF(A21="","",COUNTIFS(Payments!$B$5:$B$504,A21))</f>
        <v/>
      </c>
      <c r="G21" s="5">
        <f>IF(OR(A21="",F21=0),"",_xlfn.MAXIFS(Payments!$A$5:$A$504,Payments!$B$5:$B$504,A21))</f>
        <v/>
      </c>
      <c r="H21" s="14" t="n"/>
    </row>
    <row r="22">
      <c r="A22" s="14" t="n"/>
      <c r="B22" s="14" t="n"/>
      <c r="C22" s="14" t="n"/>
      <c r="D22" s="14" t="n"/>
      <c r="E22" s="3">
        <f>IF(A22="","",SUMIFS(Payments!$C$5:$C$504,Payments!$B$5:$B$504,A22))</f>
        <v/>
      </c>
      <c r="F22" s="9">
        <f>IF(A22="","",COUNTIFS(Payments!$B$5:$B$504,A22))</f>
        <v/>
      </c>
      <c r="G22" s="5">
        <f>IF(OR(A22="",F22=0),"",_xlfn.MAXIFS(Payments!$A$5:$A$504,Payments!$B$5:$B$504,A22))</f>
        <v/>
      </c>
      <c r="H22" s="14" t="n"/>
    </row>
    <row r="23">
      <c r="A23" s="14" t="n"/>
      <c r="B23" s="14" t="n"/>
      <c r="C23" s="14" t="n"/>
      <c r="D23" s="14" t="n"/>
      <c r="E23" s="3">
        <f>IF(A23="","",SUMIFS(Payments!$C$5:$C$504,Payments!$B$5:$B$504,A23))</f>
        <v/>
      </c>
      <c r="F23" s="9">
        <f>IF(A23="","",COUNTIFS(Payments!$B$5:$B$504,A23))</f>
        <v/>
      </c>
      <c r="G23" s="5">
        <f>IF(OR(A23="",F23=0),"",_xlfn.MAXIFS(Payments!$A$5:$A$504,Payments!$B$5:$B$504,A23))</f>
        <v/>
      </c>
      <c r="H23" s="14" t="n"/>
    </row>
    <row r="24">
      <c r="A24" s="14" t="n"/>
      <c r="B24" s="14" t="n"/>
      <c r="C24" s="14" t="n"/>
      <c r="D24" s="14" t="n"/>
      <c r="E24" s="3">
        <f>IF(A24="","",SUMIFS(Payments!$C$5:$C$504,Payments!$B$5:$B$504,A24))</f>
        <v/>
      </c>
      <c r="F24" s="9">
        <f>IF(A24="","",COUNTIFS(Payments!$B$5:$B$504,A24))</f>
        <v/>
      </c>
      <c r="G24" s="5">
        <f>IF(OR(A24="",F24=0),"",_xlfn.MAXIFS(Payments!$A$5:$A$504,Payments!$B$5:$B$504,A24))</f>
        <v/>
      </c>
      <c r="H24" s="14" t="n"/>
    </row>
    <row r="25">
      <c r="A25" s="14" t="n"/>
      <c r="B25" s="14" t="n"/>
      <c r="C25" s="14" t="n"/>
      <c r="D25" s="14" t="n"/>
      <c r="E25" s="3">
        <f>IF(A25="","",SUMIFS(Payments!$C$5:$C$504,Payments!$B$5:$B$504,A25))</f>
        <v/>
      </c>
      <c r="F25" s="9">
        <f>IF(A25="","",COUNTIFS(Payments!$B$5:$B$504,A25))</f>
        <v/>
      </c>
      <c r="G25" s="5">
        <f>IF(OR(A25="",F25=0),"",_xlfn.MAXIFS(Payments!$A$5:$A$504,Payments!$B$5:$B$504,A25))</f>
        <v/>
      </c>
      <c r="H25" s="14" t="n"/>
    </row>
    <row r="26">
      <c r="A26" s="14" t="n"/>
      <c r="B26" s="14" t="n"/>
      <c r="C26" s="14" t="n"/>
      <c r="D26" s="14" t="n"/>
      <c r="E26" s="3">
        <f>IF(A26="","",SUMIFS(Payments!$C$5:$C$504,Payments!$B$5:$B$504,A26))</f>
        <v/>
      </c>
      <c r="F26" s="9">
        <f>IF(A26="","",COUNTIFS(Payments!$B$5:$B$504,A26))</f>
        <v/>
      </c>
      <c r="G26" s="5">
        <f>IF(OR(A26="",F26=0),"",_xlfn.MAXIFS(Payments!$A$5:$A$504,Payments!$B$5:$B$504,A26))</f>
        <v/>
      </c>
      <c r="H26" s="14" t="n"/>
    </row>
    <row r="27">
      <c r="A27" s="14" t="n"/>
      <c r="B27" s="14" t="n"/>
      <c r="C27" s="14" t="n"/>
      <c r="D27" s="14" t="n"/>
      <c r="E27" s="3">
        <f>IF(A27="","",SUMIFS(Payments!$C$5:$C$504,Payments!$B$5:$B$504,A27))</f>
        <v/>
      </c>
      <c r="F27" s="9">
        <f>IF(A27="","",COUNTIFS(Payments!$B$5:$B$504,A27))</f>
        <v/>
      </c>
      <c r="G27" s="5">
        <f>IF(OR(A27="",F27=0),"",_xlfn.MAXIFS(Payments!$A$5:$A$504,Payments!$B$5:$B$504,A27))</f>
        <v/>
      </c>
      <c r="H27" s="14" t="n"/>
    </row>
    <row r="28">
      <c r="A28" s="14" t="n"/>
      <c r="B28" s="14" t="n"/>
      <c r="C28" s="14" t="n"/>
      <c r="D28" s="14" t="n"/>
      <c r="E28" s="3">
        <f>IF(A28="","",SUMIFS(Payments!$C$5:$C$504,Payments!$B$5:$B$504,A28))</f>
        <v/>
      </c>
      <c r="F28" s="9">
        <f>IF(A28="","",COUNTIFS(Payments!$B$5:$B$504,A28))</f>
        <v/>
      </c>
      <c r="G28" s="5">
        <f>IF(OR(A28="",F28=0),"",_xlfn.MAXIFS(Payments!$A$5:$A$504,Payments!$B$5:$B$504,A28))</f>
        <v/>
      </c>
      <c r="H28" s="14" t="n"/>
    </row>
    <row r="29">
      <c r="A29" s="14" t="n"/>
      <c r="B29" s="14" t="n"/>
      <c r="C29" s="14" t="n"/>
      <c r="D29" s="14" t="n"/>
      <c r="E29" s="3">
        <f>IF(A29="","",SUMIFS(Payments!$C$5:$C$504,Payments!$B$5:$B$504,A29))</f>
        <v/>
      </c>
      <c r="F29" s="9">
        <f>IF(A29="","",COUNTIFS(Payments!$B$5:$B$504,A29))</f>
        <v/>
      </c>
      <c r="G29" s="5">
        <f>IF(OR(A29="",F29=0),"",_xlfn.MAXIFS(Payments!$A$5:$A$504,Payments!$B$5:$B$504,A29))</f>
        <v/>
      </c>
      <c r="H29" s="14" t="n"/>
    </row>
    <row r="30">
      <c r="A30" s="14" t="n"/>
      <c r="B30" s="14" t="n"/>
      <c r="C30" s="14" t="n"/>
      <c r="D30" s="14" t="n"/>
      <c r="E30" s="3">
        <f>IF(A30="","",SUMIFS(Payments!$C$5:$C$504,Payments!$B$5:$B$504,A30))</f>
        <v/>
      </c>
      <c r="F30" s="9">
        <f>IF(A30="","",COUNTIFS(Payments!$B$5:$B$504,A30))</f>
        <v/>
      </c>
      <c r="G30" s="5">
        <f>IF(OR(A30="",F30=0),"",_xlfn.MAXIFS(Payments!$A$5:$A$504,Payments!$B$5:$B$504,A30))</f>
        <v/>
      </c>
      <c r="H30" s="14" t="n"/>
    </row>
    <row r="31">
      <c r="A31" s="14" t="n"/>
      <c r="B31" s="14" t="n"/>
      <c r="C31" s="14" t="n"/>
      <c r="D31" s="14" t="n"/>
      <c r="E31" s="3">
        <f>IF(A31="","",SUMIFS(Payments!$C$5:$C$504,Payments!$B$5:$B$504,A31))</f>
        <v/>
      </c>
      <c r="F31" s="9">
        <f>IF(A31="","",COUNTIFS(Payments!$B$5:$B$504,A31))</f>
        <v/>
      </c>
      <c r="G31" s="5">
        <f>IF(OR(A31="",F31=0),"",_xlfn.MAXIFS(Payments!$A$5:$A$504,Payments!$B$5:$B$504,A31))</f>
        <v/>
      </c>
      <c r="H31" s="14" t="n"/>
    </row>
    <row r="32">
      <c r="A32" s="14" t="n"/>
      <c r="B32" s="14" t="n"/>
      <c r="C32" s="14" t="n"/>
      <c r="D32" s="14" t="n"/>
      <c r="E32" s="3">
        <f>IF(A32="","",SUMIFS(Payments!$C$5:$C$504,Payments!$B$5:$B$504,A32))</f>
        <v/>
      </c>
      <c r="F32" s="9">
        <f>IF(A32="","",COUNTIFS(Payments!$B$5:$B$504,A32))</f>
        <v/>
      </c>
      <c r="G32" s="5">
        <f>IF(OR(A32="",F32=0),"",_xlfn.MAXIFS(Payments!$A$5:$A$504,Payments!$B$5:$B$504,A32))</f>
        <v/>
      </c>
      <c r="H32" s="14" t="n"/>
    </row>
    <row r="33">
      <c r="A33" s="14" t="n"/>
      <c r="B33" s="14" t="n"/>
      <c r="C33" s="14" t="n"/>
      <c r="D33" s="14" t="n"/>
      <c r="E33" s="3">
        <f>IF(A33="","",SUMIFS(Payments!$C$5:$C$504,Payments!$B$5:$B$504,A33))</f>
        <v/>
      </c>
      <c r="F33" s="9">
        <f>IF(A33="","",COUNTIFS(Payments!$B$5:$B$504,A33))</f>
        <v/>
      </c>
      <c r="G33" s="5">
        <f>IF(OR(A33="",F33=0),"",_xlfn.MAXIFS(Payments!$A$5:$A$504,Payments!$B$5:$B$504,A33))</f>
        <v/>
      </c>
      <c r="H33" s="14" t="n"/>
    </row>
    <row r="34">
      <c r="A34" s="14" t="n"/>
      <c r="B34" s="14" t="n"/>
      <c r="C34" s="14" t="n"/>
      <c r="D34" s="14" t="n"/>
      <c r="E34" s="3">
        <f>IF(A34="","",SUMIFS(Payments!$C$5:$C$504,Payments!$B$5:$B$504,A34))</f>
        <v/>
      </c>
      <c r="F34" s="9">
        <f>IF(A34="","",COUNTIFS(Payments!$B$5:$B$504,A34))</f>
        <v/>
      </c>
      <c r="G34" s="5">
        <f>IF(OR(A34="",F34=0),"",_xlfn.MAXIFS(Payments!$A$5:$A$504,Payments!$B$5:$B$504,A34))</f>
        <v/>
      </c>
      <c r="H34" s="14" t="n"/>
    </row>
    <row r="35">
      <c r="A35" s="14" t="n"/>
      <c r="B35" s="14" t="n"/>
      <c r="C35" s="14" t="n"/>
      <c r="D35" s="14" t="n"/>
      <c r="E35" s="3">
        <f>IF(A35="","",SUMIFS(Payments!$C$5:$C$504,Payments!$B$5:$B$504,A35))</f>
        <v/>
      </c>
      <c r="F35" s="9">
        <f>IF(A35="","",COUNTIFS(Payments!$B$5:$B$504,A35))</f>
        <v/>
      </c>
      <c r="G35" s="5">
        <f>IF(OR(A35="",F35=0),"",_xlfn.MAXIFS(Payments!$A$5:$A$504,Payments!$B$5:$B$504,A35))</f>
        <v/>
      </c>
      <c r="H35" s="14" t="n"/>
    </row>
    <row r="36">
      <c r="A36" s="14" t="n"/>
      <c r="B36" s="14" t="n"/>
      <c r="C36" s="14" t="n"/>
      <c r="D36" s="14" t="n"/>
      <c r="E36" s="3">
        <f>IF(A36="","",SUMIFS(Payments!$C$5:$C$504,Payments!$B$5:$B$504,A36))</f>
        <v/>
      </c>
      <c r="F36" s="9">
        <f>IF(A36="","",COUNTIFS(Payments!$B$5:$B$504,A36))</f>
        <v/>
      </c>
      <c r="G36" s="5">
        <f>IF(OR(A36="",F36=0),"",_xlfn.MAXIFS(Payments!$A$5:$A$504,Payments!$B$5:$B$504,A36))</f>
        <v/>
      </c>
      <c r="H36" s="14" t="n"/>
    </row>
    <row r="37">
      <c r="A37" s="14" t="n"/>
      <c r="B37" s="14" t="n"/>
      <c r="C37" s="14" t="n"/>
      <c r="D37" s="14" t="n"/>
      <c r="E37" s="3">
        <f>IF(A37="","",SUMIFS(Payments!$C$5:$C$504,Payments!$B$5:$B$504,A37))</f>
        <v/>
      </c>
      <c r="F37" s="9">
        <f>IF(A37="","",COUNTIFS(Payments!$B$5:$B$504,A37))</f>
        <v/>
      </c>
      <c r="G37" s="5">
        <f>IF(OR(A37="",F37=0),"",_xlfn.MAXIFS(Payments!$A$5:$A$504,Payments!$B$5:$B$504,A37))</f>
        <v/>
      </c>
      <c r="H37" s="14" t="n"/>
    </row>
    <row r="38">
      <c r="A38" s="14" t="n"/>
      <c r="B38" s="14" t="n"/>
      <c r="C38" s="14" t="n"/>
      <c r="D38" s="14" t="n"/>
      <c r="E38" s="3">
        <f>IF(A38="","",SUMIFS(Payments!$C$5:$C$504,Payments!$B$5:$B$504,A38))</f>
        <v/>
      </c>
      <c r="F38" s="9">
        <f>IF(A38="","",COUNTIFS(Payments!$B$5:$B$504,A38))</f>
        <v/>
      </c>
      <c r="G38" s="5">
        <f>IF(OR(A38="",F38=0),"",_xlfn.MAXIFS(Payments!$A$5:$A$504,Payments!$B$5:$B$504,A38))</f>
        <v/>
      </c>
      <c r="H38" s="14" t="n"/>
    </row>
    <row r="39">
      <c r="A39" s="14" t="n"/>
      <c r="B39" s="14" t="n"/>
      <c r="C39" s="14" t="n"/>
      <c r="D39" s="14" t="n"/>
      <c r="E39" s="3">
        <f>IF(A39="","",SUMIFS(Payments!$C$5:$C$504,Payments!$B$5:$B$504,A39))</f>
        <v/>
      </c>
      <c r="F39" s="9">
        <f>IF(A39="","",COUNTIFS(Payments!$B$5:$B$504,A39))</f>
        <v/>
      </c>
      <c r="G39" s="5">
        <f>IF(OR(A39="",F39=0),"",_xlfn.MAXIFS(Payments!$A$5:$A$504,Payments!$B$5:$B$504,A39))</f>
        <v/>
      </c>
      <c r="H39" s="14" t="n"/>
    </row>
    <row r="40">
      <c r="A40" s="14" t="n"/>
      <c r="B40" s="14" t="n"/>
      <c r="C40" s="14" t="n"/>
      <c r="D40" s="14" t="n"/>
      <c r="E40" s="3">
        <f>IF(A40="","",SUMIFS(Payments!$C$5:$C$504,Payments!$B$5:$B$504,A40))</f>
        <v/>
      </c>
      <c r="F40" s="9">
        <f>IF(A40="","",COUNTIFS(Payments!$B$5:$B$504,A40))</f>
        <v/>
      </c>
      <c r="G40" s="5">
        <f>IF(OR(A40="",F40=0),"",_xlfn.MAXIFS(Payments!$A$5:$A$504,Payments!$B$5:$B$504,A40))</f>
        <v/>
      </c>
      <c r="H40" s="14" t="n"/>
    </row>
    <row r="41">
      <c r="A41" s="14" t="n"/>
      <c r="B41" s="14" t="n"/>
      <c r="C41" s="14" t="n"/>
      <c r="D41" s="14" t="n"/>
      <c r="E41" s="3">
        <f>IF(A41="","",SUMIFS(Payments!$C$5:$C$504,Payments!$B$5:$B$504,A41))</f>
        <v/>
      </c>
      <c r="F41" s="9">
        <f>IF(A41="","",COUNTIFS(Payments!$B$5:$B$504,A41))</f>
        <v/>
      </c>
      <c r="G41" s="5">
        <f>IF(OR(A41="",F41=0),"",_xlfn.MAXIFS(Payments!$A$5:$A$504,Payments!$B$5:$B$504,A41))</f>
        <v/>
      </c>
      <c r="H41" s="14" t="n"/>
    </row>
    <row r="42">
      <c r="A42" s="14" t="n"/>
      <c r="B42" s="14" t="n"/>
      <c r="C42" s="14" t="n"/>
      <c r="D42" s="14" t="n"/>
      <c r="E42" s="3">
        <f>IF(A42="","",SUMIFS(Payments!$C$5:$C$504,Payments!$B$5:$B$504,A42))</f>
        <v/>
      </c>
      <c r="F42" s="9">
        <f>IF(A42="","",COUNTIFS(Payments!$B$5:$B$504,A42))</f>
        <v/>
      </c>
      <c r="G42" s="5">
        <f>IF(OR(A42="",F42=0),"",_xlfn.MAXIFS(Payments!$A$5:$A$504,Payments!$B$5:$B$504,A42))</f>
        <v/>
      </c>
      <c r="H42" s="14" t="n"/>
    </row>
    <row r="43">
      <c r="A43" s="14" t="n"/>
      <c r="B43" s="14" t="n"/>
      <c r="C43" s="14" t="n"/>
      <c r="D43" s="14" t="n"/>
      <c r="E43" s="3">
        <f>IF(A43="","",SUMIFS(Payments!$C$5:$C$504,Payments!$B$5:$B$504,A43))</f>
        <v/>
      </c>
      <c r="F43" s="9">
        <f>IF(A43="","",COUNTIFS(Payments!$B$5:$B$504,A43))</f>
        <v/>
      </c>
      <c r="G43" s="5">
        <f>IF(OR(A43="",F43=0),"",_xlfn.MAXIFS(Payments!$A$5:$A$504,Payments!$B$5:$B$504,A43))</f>
        <v/>
      </c>
      <c r="H43" s="14" t="n"/>
    </row>
    <row r="44">
      <c r="A44" s="14" t="n"/>
      <c r="B44" s="14" t="n"/>
      <c r="C44" s="14" t="n"/>
      <c r="D44" s="14" t="n"/>
      <c r="E44" s="3">
        <f>IF(A44="","",SUMIFS(Payments!$C$5:$C$504,Payments!$B$5:$B$504,A44))</f>
        <v/>
      </c>
      <c r="F44" s="9">
        <f>IF(A44="","",COUNTIFS(Payments!$B$5:$B$504,A44))</f>
        <v/>
      </c>
      <c r="G44" s="5">
        <f>IF(OR(A44="",F44=0),"",_xlfn.MAXIFS(Payments!$A$5:$A$504,Payments!$B$5:$B$504,A44))</f>
        <v/>
      </c>
      <c r="H44" s="14" t="n"/>
    </row>
    <row r="45">
      <c r="A45" s="14" t="n"/>
      <c r="B45" s="14" t="n"/>
      <c r="C45" s="14" t="n"/>
      <c r="D45" s="14" t="n"/>
      <c r="E45" s="3">
        <f>IF(A45="","",SUMIFS(Payments!$C$5:$C$504,Payments!$B$5:$B$504,A45))</f>
        <v/>
      </c>
      <c r="F45" s="9">
        <f>IF(A45="","",COUNTIFS(Payments!$B$5:$B$504,A45))</f>
        <v/>
      </c>
      <c r="G45" s="5">
        <f>IF(OR(A45="",F45=0),"",_xlfn.MAXIFS(Payments!$A$5:$A$504,Payments!$B$5:$B$504,A45))</f>
        <v/>
      </c>
      <c r="H45" s="14" t="n"/>
    </row>
    <row r="46">
      <c r="A46" s="14" t="n"/>
      <c r="B46" s="14" t="n"/>
      <c r="C46" s="14" t="n"/>
      <c r="D46" s="14" t="n"/>
      <c r="E46" s="3">
        <f>IF(A46="","",SUMIFS(Payments!$C$5:$C$504,Payments!$B$5:$B$504,A46))</f>
        <v/>
      </c>
      <c r="F46" s="9">
        <f>IF(A46="","",COUNTIFS(Payments!$B$5:$B$504,A46))</f>
        <v/>
      </c>
      <c r="G46" s="5">
        <f>IF(OR(A46="",F46=0),"",_xlfn.MAXIFS(Payments!$A$5:$A$504,Payments!$B$5:$B$504,A46))</f>
        <v/>
      </c>
      <c r="H46" s="14" t="n"/>
    </row>
    <row r="47">
      <c r="A47" s="14" t="n"/>
      <c r="B47" s="14" t="n"/>
      <c r="C47" s="14" t="n"/>
      <c r="D47" s="14" t="n"/>
      <c r="E47" s="3">
        <f>IF(A47="","",SUMIFS(Payments!$C$5:$C$504,Payments!$B$5:$B$504,A47))</f>
        <v/>
      </c>
      <c r="F47" s="9">
        <f>IF(A47="","",COUNTIFS(Payments!$B$5:$B$504,A47))</f>
        <v/>
      </c>
      <c r="G47" s="5">
        <f>IF(OR(A47="",F47=0),"",_xlfn.MAXIFS(Payments!$A$5:$A$504,Payments!$B$5:$B$504,A47))</f>
        <v/>
      </c>
      <c r="H47" s="14" t="n"/>
    </row>
    <row r="48">
      <c r="A48" s="14" t="n"/>
      <c r="B48" s="14" t="n"/>
      <c r="C48" s="14" t="n"/>
      <c r="D48" s="14" t="n"/>
      <c r="E48" s="3">
        <f>IF(A48="","",SUMIFS(Payments!$C$5:$C$504,Payments!$B$5:$B$504,A48))</f>
        <v/>
      </c>
      <c r="F48" s="9">
        <f>IF(A48="","",COUNTIFS(Payments!$B$5:$B$504,A48))</f>
        <v/>
      </c>
      <c r="G48" s="5">
        <f>IF(OR(A48="",F48=0),"",_xlfn.MAXIFS(Payments!$A$5:$A$504,Payments!$B$5:$B$504,A48))</f>
        <v/>
      </c>
      <c r="H48" s="14" t="n"/>
    </row>
    <row r="49">
      <c r="A49" s="14" t="n"/>
      <c r="B49" s="14" t="n"/>
      <c r="C49" s="14" t="n"/>
      <c r="D49" s="14" t="n"/>
      <c r="E49" s="3">
        <f>IF(A49="","",SUMIFS(Payments!$C$5:$C$504,Payments!$B$5:$B$504,A49))</f>
        <v/>
      </c>
      <c r="F49" s="9">
        <f>IF(A49="","",COUNTIFS(Payments!$B$5:$B$504,A49))</f>
        <v/>
      </c>
      <c r="G49" s="5">
        <f>IF(OR(A49="",F49=0),"",_xlfn.MAXIFS(Payments!$A$5:$A$504,Payments!$B$5:$B$504,A49))</f>
        <v/>
      </c>
      <c r="H49" s="14" t="n"/>
    </row>
    <row r="50">
      <c r="A50" s="14" t="n"/>
      <c r="B50" s="14" t="n"/>
      <c r="C50" s="14" t="n"/>
      <c r="D50" s="14" t="n"/>
      <c r="E50" s="3">
        <f>IF(A50="","",SUMIFS(Payments!$C$5:$C$504,Payments!$B$5:$B$504,A50))</f>
        <v/>
      </c>
      <c r="F50" s="9">
        <f>IF(A50="","",COUNTIFS(Payments!$B$5:$B$504,A50))</f>
        <v/>
      </c>
      <c r="G50" s="5">
        <f>IF(OR(A50="",F50=0),"",_xlfn.MAXIFS(Payments!$A$5:$A$504,Payments!$B$5:$B$504,A50))</f>
        <v/>
      </c>
      <c r="H50" s="14" t="n"/>
    </row>
    <row r="51">
      <c r="A51" s="14" t="n"/>
      <c r="B51" s="14" t="n"/>
      <c r="C51" s="14" t="n"/>
      <c r="D51" s="14" t="n"/>
      <c r="E51" s="3">
        <f>IF(A51="","",SUMIFS(Payments!$C$5:$C$504,Payments!$B$5:$B$504,A51))</f>
        <v/>
      </c>
      <c r="F51" s="9">
        <f>IF(A51="","",COUNTIFS(Payments!$B$5:$B$504,A51))</f>
        <v/>
      </c>
      <c r="G51" s="5">
        <f>IF(OR(A51="",F51=0),"",_xlfn.MAXIFS(Payments!$A$5:$A$504,Payments!$B$5:$B$504,A51))</f>
        <v/>
      </c>
      <c r="H51" s="14" t="n"/>
    </row>
    <row r="52">
      <c r="A52" s="14" t="n"/>
      <c r="B52" s="14" t="n"/>
      <c r="C52" s="14" t="n"/>
      <c r="D52" s="14" t="n"/>
      <c r="E52" s="3">
        <f>IF(A52="","",SUMIFS(Payments!$C$5:$C$504,Payments!$B$5:$B$504,A52))</f>
        <v/>
      </c>
      <c r="F52" s="9">
        <f>IF(A52="","",COUNTIFS(Payments!$B$5:$B$504,A52))</f>
        <v/>
      </c>
      <c r="G52" s="5">
        <f>IF(OR(A52="",F52=0),"",_xlfn.MAXIFS(Payments!$A$5:$A$504,Payments!$B$5:$B$504,A52))</f>
        <v/>
      </c>
      <c r="H52" s="14" t="n"/>
    </row>
    <row r="53">
      <c r="A53" s="14" t="n"/>
      <c r="B53" s="14" t="n"/>
      <c r="C53" s="14" t="n"/>
      <c r="D53" s="14" t="n"/>
      <c r="E53" s="3">
        <f>IF(A53="","",SUMIFS(Payments!$C$5:$C$504,Payments!$B$5:$B$504,A53))</f>
        <v/>
      </c>
      <c r="F53" s="9">
        <f>IF(A53="","",COUNTIFS(Payments!$B$5:$B$504,A53))</f>
        <v/>
      </c>
      <c r="G53" s="5">
        <f>IF(OR(A53="",F53=0),"",_xlfn.MAXIFS(Payments!$A$5:$A$504,Payments!$B$5:$B$504,A53))</f>
        <v/>
      </c>
      <c r="H53" s="14" t="n"/>
    </row>
    <row r="54">
      <c r="A54" s="14" t="n"/>
      <c r="B54" s="14" t="n"/>
      <c r="C54" s="14" t="n"/>
      <c r="D54" s="14" t="n"/>
      <c r="E54" s="3">
        <f>IF(A54="","",SUMIFS(Payments!$C$5:$C$504,Payments!$B$5:$B$504,A54))</f>
        <v/>
      </c>
      <c r="F54" s="9">
        <f>IF(A54="","",COUNTIFS(Payments!$B$5:$B$504,A54))</f>
        <v/>
      </c>
      <c r="G54" s="5">
        <f>IF(OR(A54="",F54=0),"",_xlfn.MAXIFS(Payments!$A$5:$A$504,Payments!$B$5:$B$504,A54))</f>
        <v/>
      </c>
      <c r="H54" s="14" t="n"/>
    </row>
    <row r="55">
      <c r="A55" s="14" t="n"/>
      <c r="B55" s="14" t="n"/>
      <c r="C55" s="14" t="n"/>
      <c r="D55" s="14" t="n"/>
      <c r="E55" s="3">
        <f>IF(A55="","",SUMIFS(Payments!$C$5:$C$504,Payments!$B$5:$B$504,A55))</f>
        <v/>
      </c>
      <c r="F55" s="9">
        <f>IF(A55="","",COUNTIFS(Payments!$B$5:$B$504,A55))</f>
        <v/>
      </c>
      <c r="G55" s="5">
        <f>IF(OR(A55="",F55=0),"",_xlfn.MAXIFS(Payments!$A$5:$A$504,Payments!$B$5:$B$504,A55))</f>
        <v/>
      </c>
      <c r="H55" s="14" t="n"/>
    </row>
    <row r="56">
      <c r="A56" s="14" t="n"/>
      <c r="B56" s="14" t="n"/>
      <c r="C56" s="14" t="n"/>
      <c r="D56" s="14" t="n"/>
      <c r="E56" s="3">
        <f>IF(A56="","",SUMIFS(Payments!$C$5:$C$504,Payments!$B$5:$B$504,A56))</f>
        <v/>
      </c>
      <c r="F56" s="9">
        <f>IF(A56="","",COUNTIFS(Payments!$B$5:$B$504,A56))</f>
        <v/>
      </c>
      <c r="G56" s="5">
        <f>IF(OR(A56="",F56=0),"",_xlfn.MAXIFS(Payments!$A$5:$A$504,Payments!$B$5:$B$504,A56))</f>
        <v/>
      </c>
      <c r="H56" s="14" t="n"/>
    </row>
    <row r="57">
      <c r="A57" s="14" t="n"/>
      <c r="B57" s="14" t="n"/>
      <c r="C57" s="14" t="n"/>
      <c r="D57" s="14" t="n"/>
      <c r="E57" s="3">
        <f>IF(A57="","",SUMIFS(Payments!$C$5:$C$504,Payments!$B$5:$B$504,A57))</f>
        <v/>
      </c>
      <c r="F57" s="9">
        <f>IF(A57="","",COUNTIFS(Payments!$B$5:$B$504,A57))</f>
        <v/>
      </c>
      <c r="G57" s="5">
        <f>IF(OR(A57="",F57=0),"",_xlfn.MAXIFS(Payments!$A$5:$A$504,Payments!$B$5:$B$504,A57))</f>
        <v/>
      </c>
      <c r="H57" s="14" t="n"/>
    </row>
    <row r="58">
      <c r="A58" s="14" t="n"/>
      <c r="B58" s="14" t="n"/>
      <c r="C58" s="14" t="n"/>
      <c r="D58" s="14" t="n"/>
      <c r="E58" s="3">
        <f>IF(A58="","",SUMIFS(Payments!$C$5:$C$504,Payments!$B$5:$B$504,A58))</f>
        <v/>
      </c>
      <c r="F58" s="9">
        <f>IF(A58="","",COUNTIFS(Payments!$B$5:$B$504,A58))</f>
        <v/>
      </c>
      <c r="G58" s="5">
        <f>IF(OR(A58="",F58=0),"",_xlfn.MAXIFS(Payments!$A$5:$A$504,Payments!$B$5:$B$504,A58))</f>
        <v/>
      </c>
      <c r="H58" s="14" t="n"/>
    </row>
    <row r="59">
      <c r="A59" s="14" t="n"/>
      <c r="B59" s="14" t="n"/>
      <c r="C59" s="14" t="n"/>
      <c r="D59" s="14" t="n"/>
      <c r="E59" s="3">
        <f>IF(A59="","",SUMIFS(Payments!$C$5:$C$504,Payments!$B$5:$B$504,A59))</f>
        <v/>
      </c>
      <c r="F59" s="9">
        <f>IF(A59="","",COUNTIFS(Payments!$B$5:$B$504,A59))</f>
        <v/>
      </c>
      <c r="G59" s="5">
        <f>IF(OR(A59="",F59=0),"",_xlfn.MAXIFS(Payments!$A$5:$A$504,Payments!$B$5:$B$504,A59))</f>
        <v/>
      </c>
      <c r="H59" s="14" t="n"/>
    </row>
    <row r="60">
      <c r="A60" s="14" t="n"/>
      <c r="B60" s="14" t="n"/>
      <c r="C60" s="14" t="n"/>
      <c r="D60" s="14" t="n"/>
      <c r="E60" s="3">
        <f>IF(A60="","",SUMIFS(Payments!$C$5:$C$504,Payments!$B$5:$B$504,A60))</f>
        <v/>
      </c>
      <c r="F60" s="9">
        <f>IF(A60="","",COUNTIFS(Payments!$B$5:$B$504,A60))</f>
        <v/>
      </c>
      <c r="G60" s="5">
        <f>IF(OR(A60="",F60=0),"",_xlfn.MAXIFS(Payments!$A$5:$A$504,Payments!$B$5:$B$504,A60))</f>
        <v/>
      </c>
      <c r="H60" s="14" t="n"/>
    </row>
    <row r="61">
      <c r="A61" s="14" t="n"/>
      <c r="B61" s="14" t="n"/>
      <c r="C61" s="14" t="n"/>
      <c r="D61" s="14" t="n"/>
      <c r="E61" s="3">
        <f>IF(A61="","",SUMIFS(Payments!$C$5:$C$504,Payments!$B$5:$B$504,A61))</f>
        <v/>
      </c>
      <c r="F61" s="9">
        <f>IF(A61="","",COUNTIFS(Payments!$B$5:$B$504,A61))</f>
        <v/>
      </c>
      <c r="G61" s="5">
        <f>IF(OR(A61="",F61=0),"",_xlfn.MAXIFS(Payments!$A$5:$A$504,Payments!$B$5:$B$504,A61))</f>
        <v/>
      </c>
      <c r="H61" s="14" t="n"/>
    </row>
    <row r="62">
      <c r="A62" s="14" t="n"/>
      <c r="B62" s="14" t="n"/>
      <c r="C62" s="14" t="n"/>
      <c r="D62" s="14" t="n"/>
      <c r="E62" s="3">
        <f>IF(A62="","",SUMIFS(Payments!$C$5:$C$504,Payments!$B$5:$B$504,A62))</f>
        <v/>
      </c>
      <c r="F62" s="9">
        <f>IF(A62="","",COUNTIFS(Payments!$B$5:$B$504,A62))</f>
        <v/>
      </c>
      <c r="G62" s="5">
        <f>IF(OR(A62="",F62=0),"",_xlfn.MAXIFS(Payments!$A$5:$A$504,Payments!$B$5:$B$504,A62))</f>
        <v/>
      </c>
      <c r="H62" s="14" t="n"/>
    </row>
    <row r="63">
      <c r="A63" s="14" t="n"/>
      <c r="B63" s="14" t="n"/>
      <c r="C63" s="14" t="n"/>
      <c r="D63" s="14" t="n"/>
      <c r="E63" s="3">
        <f>IF(A63="","",SUMIFS(Payments!$C$5:$C$504,Payments!$B$5:$B$504,A63))</f>
        <v/>
      </c>
      <c r="F63" s="9">
        <f>IF(A63="","",COUNTIFS(Payments!$B$5:$B$504,A63))</f>
        <v/>
      </c>
      <c r="G63" s="5">
        <f>IF(OR(A63="",F63=0),"",_xlfn.MAXIFS(Payments!$A$5:$A$504,Payments!$B$5:$B$504,A63))</f>
        <v/>
      </c>
      <c r="H63" s="14" t="n"/>
    </row>
    <row r="64">
      <c r="A64" s="14" t="n"/>
      <c r="B64" s="14" t="n"/>
      <c r="C64" s="14" t="n"/>
      <c r="D64" s="14" t="n"/>
      <c r="E64" s="3">
        <f>IF(A64="","",SUMIFS(Payments!$C$5:$C$504,Payments!$B$5:$B$504,A64))</f>
        <v/>
      </c>
      <c r="F64" s="9">
        <f>IF(A64="","",COUNTIFS(Payments!$B$5:$B$504,A64))</f>
        <v/>
      </c>
      <c r="G64" s="5">
        <f>IF(OR(A64="",F64=0),"",_xlfn.MAXIFS(Payments!$A$5:$A$504,Payments!$B$5:$B$504,A64))</f>
        <v/>
      </c>
      <c r="H64" s="14" t="n"/>
    </row>
    <row r="65">
      <c r="A65" s="14" t="n"/>
      <c r="B65" s="14" t="n"/>
      <c r="C65" s="14" t="n"/>
      <c r="D65" s="14" t="n"/>
      <c r="E65" s="3">
        <f>IF(A65="","",SUMIFS(Payments!$C$5:$C$504,Payments!$B$5:$B$504,A65))</f>
        <v/>
      </c>
      <c r="F65" s="9">
        <f>IF(A65="","",COUNTIFS(Payments!$B$5:$B$504,A65))</f>
        <v/>
      </c>
      <c r="G65" s="5">
        <f>IF(OR(A65="",F65=0),"",_xlfn.MAXIFS(Payments!$A$5:$A$504,Payments!$B$5:$B$504,A65))</f>
        <v/>
      </c>
      <c r="H65" s="14" t="n"/>
    </row>
    <row r="66">
      <c r="A66" s="14" t="n"/>
      <c r="B66" s="14" t="n"/>
      <c r="C66" s="14" t="n"/>
      <c r="D66" s="14" t="n"/>
      <c r="E66" s="3">
        <f>IF(A66="","",SUMIFS(Payments!$C$5:$C$504,Payments!$B$5:$B$504,A66))</f>
        <v/>
      </c>
      <c r="F66" s="9">
        <f>IF(A66="","",COUNTIFS(Payments!$B$5:$B$504,A66))</f>
        <v/>
      </c>
      <c r="G66" s="5">
        <f>IF(OR(A66="",F66=0),"",_xlfn.MAXIFS(Payments!$A$5:$A$504,Payments!$B$5:$B$504,A66))</f>
        <v/>
      </c>
      <c r="H66" s="14" t="n"/>
    </row>
    <row r="67">
      <c r="A67" s="14" t="n"/>
      <c r="B67" s="14" t="n"/>
      <c r="C67" s="14" t="n"/>
      <c r="D67" s="14" t="n"/>
      <c r="E67" s="3">
        <f>IF(A67="","",SUMIFS(Payments!$C$5:$C$504,Payments!$B$5:$B$504,A67))</f>
        <v/>
      </c>
      <c r="F67" s="9">
        <f>IF(A67="","",COUNTIFS(Payments!$B$5:$B$504,A67))</f>
        <v/>
      </c>
      <c r="G67" s="5">
        <f>IF(OR(A67="",F67=0),"",_xlfn.MAXIFS(Payments!$A$5:$A$504,Payments!$B$5:$B$504,A67))</f>
        <v/>
      </c>
      <c r="H67" s="14" t="n"/>
    </row>
    <row r="68">
      <c r="A68" s="14" t="n"/>
      <c r="B68" s="14" t="n"/>
      <c r="C68" s="14" t="n"/>
      <c r="D68" s="14" t="n"/>
      <c r="E68" s="3">
        <f>IF(A68="","",SUMIFS(Payments!$C$5:$C$504,Payments!$B$5:$B$504,A68))</f>
        <v/>
      </c>
      <c r="F68" s="9">
        <f>IF(A68="","",COUNTIFS(Payments!$B$5:$B$504,A68))</f>
        <v/>
      </c>
      <c r="G68" s="5">
        <f>IF(OR(A68="",F68=0),"",_xlfn.MAXIFS(Payments!$A$5:$A$504,Payments!$B$5:$B$504,A68))</f>
        <v/>
      </c>
      <c r="H68" s="14" t="n"/>
    </row>
    <row r="69">
      <c r="A69" s="14" t="n"/>
      <c r="B69" s="14" t="n"/>
      <c r="C69" s="14" t="n"/>
      <c r="D69" s="14" t="n"/>
      <c r="E69" s="3">
        <f>IF(A69="","",SUMIFS(Payments!$C$5:$C$504,Payments!$B$5:$B$504,A69))</f>
        <v/>
      </c>
      <c r="F69" s="9">
        <f>IF(A69="","",COUNTIFS(Payments!$B$5:$B$504,A69))</f>
        <v/>
      </c>
      <c r="G69" s="5">
        <f>IF(OR(A69="",F69=0),"",_xlfn.MAXIFS(Payments!$A$5:$A$504,Payments!$B$5:$B$504,A69))</f>
        <v/>
      </c>
      <c r="H69" s="14" t="n"/>
    </row>
    <row r="70">
      <c r="A70" s="14" t="n"/>
      <c r="B70" s="14" t="n"/>
      <c r="C70" s="14" t="n"/>
      <c r="D70" s="14" t="n"/>
      <c r="E70" s="3">
        <f>IF(A70="","",SUMIFS(Payments!$C$5:$C$504,Payments!$B$5:$B$504,A70))</f>
        <v/>
      </c>
      <c r="F70" s="9">
        <f>IF(A70="","",COUNTIFS(Payments!$B$5:$B$504,A70))</f>
        <v/>
      </c>
      <c r="G70" s="5">
        <f>IF(OR(A70="",F70=0),"",_xlfn.MAXIFS(Payments!$A$5:$A$504,Payments!$B$5:$B$504,A70))</f>
        <v/>
      </c>
      <c r="H70" s="14" t="n"/>
    </row>
    <row r="71">
      <c r="A71" s="14" t="n"/>
      <c r="B71" s="14" t="n"/>
      <c r="C71" s="14" t="n"/>
      <c r="D71" s="14" t="n"/>
      <c r="E71" s="3">
        <f>IF(A71="","",SUMIFS(Payments!$C$5:$C$504,Payments!$B$5:$B$504,A71))</f>
        <v/>
      </c>
      <c r="F71" s="9">
        <f>IF(A71="","",COUNTIFS(Payments!$B$5:$B$504,A71))</f>
        <v/>
      </c>
      <c r="G71" s="5">
        <f>IF(OR(A71="",F71=0),"",_xlfn.MAXIFS(Payments!$A$5:$A$504,Payments!$B$5:$B$504,A71))</f>
        <v/>
      </c>
      <c r="H71" s="14" t="n"/>
    </row>
    <row r="72">
      <c r="A72" s="14" t="n"/>
      <c r="B72" s="14" t="n"/>
      <c r="C72" s="14" t="n"/>
      <c r="D72" s="14" t="n"/>
      <c r="E72" s="3">
        <f>IF(A72="","",SUMIFS(Payments!$C$5:$C$504,Payments!$B$5:$B$504,A72))</f>
        <v/>
      </c>
      <c r="F72" s="9">
        <f>IF(A72="","",COUNTIFS(Payments!$B$5:$B$504,A72))</f>
        <v/>
      </c>
      <c r="G72" s="5">
        <f>IF(OR(A72="",F72=0),"",_xlfn.MAXIFS(Payments!$A$5:$A$504,Payments!$B$5:$B$504,A72))</f>
        <v/>
      </c>
      <c r="H72" s="14" t="n"/>
    </row>
    <row r="73">
      <c r="A73" s="14" t="n"/>
      <c r="B73" s="14" t="n"/>
      <c r="C73" s="14" t="n"/>
      <c r="D73" s="14" t="n"/>
      <c r="E73" s="3">
        <f>IF(A73="","",SUMIFS(Payments!$C$5:$C$504,Payments!$B$5:$B$504,A73))</f>
        <v/>
      </c>
      <c r="F73" s="9">
        <f>IF(A73="","",COUNTIFS(Payments!$B$5:$B$504,A73))</f>
        <v/>
      </c>
      <c r="G73" s="5">
        <f>IF(OR(A73="",F73=0),"",_xlfn.MAXIFS(Payments!$A$5:$A$504,Payments!$B$5:$B$504,A73))</f>
        <v/>
      </c>
      <c r="H73" s="14" t="n"/>
    </row>
    <row r="74">
      <c r="A74" s="14" t="n"/>
      <c r="B74" s="14" t="n"/>
      <c r="C74" s="14" t="n"/>
      <c r="D74" s="14" t="n"/>
      <c r="E74" s="3">
        <f>IF(A74="","",SUMIFS(Payments!$C$5:$C$504,Payments!$B$5:$B$504,A74))</f>
        <v/>
      </c>
      <c r="F74" s="9">
        <f>IF(A74="","",COUNTIFS(Payments!$B$5:$B$504,A74))</f>
        <v/>
      </c>
      <c r="G74" s="5">
        <f>IF(OR(A74="",F74=0),"",_xlfn.MAXIFS(Payments!$A$5:$A$504,Payments!$B$5:$B$504,A74))</f>
        <v/>
      </c>
      <c r="H74" s="14" t="n"/>
    </row>
    <row r="75">
      <c r="A75" s="14" t="n"/>
      <c r="B75" s="14" t="n"/>
      <c r="C75" s="14" t="n"/>
      <c r="D75" s="14" t="n"/>
      <c r="E75" s="3">
        <f>IF(A75="","",SUMIFS(Payments!$C$5:$C$504,Payments!$B$5:$B$504,A75))</f>
        <v/>
      </c>
      <c r="F75" s="9">
        <f>IF(A75="","",COUNTIFS(Payments!$B$5:$B$504,A75))</f>
        <v/>
      </c>
      <c r="G75" s="5">
        <f>IF(OR(A75="",F75=0),"",_xlfn.MAXIFS(Payments!$A$5:$A$504,Payments!$B$5:$B$504,A75))</f>
        <v/>
      </c>
      <c r="H75" s="14" t="n"/>
    </row>
    <row r="76">
      <c r="A76" s="14" t="n"/>
      <c r="B76" s="14" t="n"/>
      <c r="C76" s="14" t="n"/>
      <c r="D76" s="14" t="n"/>
      <c r="E76" s="3">
        <f>IF(A76="","",SUMIFS(Payments!$C$5:$C$504,Payments!$B$5:$B$504,A76))</f>
        <v/>
      </c>
      <c r="F76" s="9">
        <f>IF(A76="","",COUNTIFS(Payments!$B$5:$B$504,A76))</f>
        <v/>
      </c>
      <c r="G76" s="5">
        <f>IF(OR(A76="",F76=0),"",_xlfn.MAXIFS(Payments!$A$5:$A$504,Payments!$B$5:$B$504,A76))</f>
        <v/>
      </c>
      <c r="H76" s="14" t="n"/>
    </row>
    <row r="77">
      <c r="A77" s="14" t="n"/>
      <c r="B77" s="14" t="n"/>
      <c r="C77" s="14" t="n"/>
      <c r="D77" s="14" t="n"/>
      <c r="E77" s="3">
        <f>IF(A77="","",SUMIFS(Payments!$C$5:$C$504,Payments!$B$5:$B$504,A77))</f>
        <v/>
      </c>
      <c r="F77" s="9">
        <f>IF(A77="","",COUNTIFS(Payments!$B$5:$B$504,A77))</f>
        <v/>
      </c>
      <c r="G77" s="5">
        <f>IF(OR(A77="",F77=0),"",_xlfn.MAXIFS(Payments!$A$5:$A$504,Payments!$B$5:$B$504,A77))</f>
        <v/>
      </c>
      <c r="H77" s="14" t="n"/>
    </row>
    <row r="78">
      <c r="A78" s="14" t="n"/>
      <c r="B78" s="14" t="n"/>
      <c r="C78" s="14" t="n"/>
      <c r="D78" s="14" t="n"/>
      <c r="E78" s="3">
        <f>IF(A78="","",SUMIFS(Payments!$C$5:$C$504,Payments!$B$5:$B$504,A78))</f>
        <v/>
      </c>
      <c r="F78" s="9">
        <f>IF(A78="","",COUNTIFS(Payments!$B$5:$B$504,A78))</f>
        <v/>
      </c>
      <c r="G78" s="5">
        <f>IF(OR(A78="",F78=0),"",_xlfn.MAXIFS(Payments!$A$5:$A$504,Payments!$B$5:$B$504,A78))</f>
        <v/>
      </c>
      <c r="H78" s="14" t="n"/>
    </row>
    <row r="79">
      <c r="A79" s="14" t="n"/>
      <c r="B79" s="14" t="n"/>
      <c r="C79" s="14" t="n"/>
      <c r="D79" s="14" t="n"/>
      <c r="E79" s="3">
        <f>IF(A79="","",SUMIFS(Payments!$C$5:$C$504,Payments!$B$5:$B$504,A79))</f>
        <v/>
      </c>
      <c r="F79" s="9">
        <f>IF(A79="","",COUNTIFS(Payments!$B$5:$B$504,A79))</f>
        <v/>
      </c>
      <c r="G79" s="5">
        <f>IF(OR(A79="",F79=0),"",_xlfn.MAXIFS(Payments!$A$5:$A$504,Payments!$B$5:$B$504,A79))</f>
        <v/>
      </c>
      <c r="H79" s="14" t="n"/>
    </row>
    <row r="80">
      <c r="A80" s="14" t="n"/>
      <c r="B80" s="14" t="n"/>
      <c r="C80" s="14" t="n"/>
      <c r="D80" s="14" t="n"/>
      <c r="E80" s="3">
        <f>IF(A80="","",SUMIFS(Payments!$C$5:$C$504,Payments!$B$5:$B$504,A80))</f>
        <v/>
      </c>
      <c r="F80" s="9">
        <f>IF(A80="","",COUNTIFS(Payments!$B$5:$B$504,A80))</f>
        <v/>
      </c>
      <c r="G80" s="5">
        <f>IF(OR(A80="",F80=0),"",_xlfn.MAXIFS(Payments!$A$5:$A$504,Payments!$B$5:$B$504,A80))</f>
        <v/>
      </c>
      <c r="H80" s="14" t="n"/>
    </row>
    <row r="81">
      <c r="A81" s="14" t="n"/>
      <c r="B81" s="14" t="n"/>
      <c r="C81" s="14" t="n"/>
      <c r="D81" s="14" t="n"/>
      <c r="E81" s="3">
        <f>IF(A81="","",SUMIFS(Payments!$C$5:$C$504,Payments!$B$5:$B$504,A81))</f>
        <v/>
      </c>
      <c r="F81" s="9">
        <f>IF(A81="","",COUNTIFS(Payments!$B$5:$B$504,A81))</f>
        <v/>
      </c>
      <c r="G81" s="5">
        <f>IF(OR(A81="",F81=0),"",_xlfn.MAXIFS(Payments!$A$5:$A$504,Payments!$B$5:$B$504,A81))</f>
        <v/>
      </c>
      <c r="H81" s="14" t="n"/>
    </row>
    <row r="82">
      <c r="A82" s="14" t="n"/>
      <c r="B82" s="14" t="n"/>
      <c r="C82" s="14" t="n"/>
      <c r="D82" s="14" t="n"/>
      <c r="E82" s="3">
        <f>IF(A82="","",SUMIFS(Payments!$C$5:$C$504,Payments!$B$5:$B$504,A82))</f>
        <v/>
      </c>
      <c r="F82" s="9">
        <f>IF(A82="","",COUNTIFS(Payments!$B$5:$B$504,A82))</f>
        <v/>
      </c>
      <c r="G82" s="5">
        <f>IF(OR(A82="",F82=0),"",_xlfn.MAXIFS(Payments!$A$5:$A$504,Payments!$B$5:$B$504,A82))</f>
        <v/>
      </c>
      <c r="H82" s="14" t="n"/>
    </row>
    <row r="83">
      <c r="A83" s="14" t="n"/>
      <c r="B83" s="14" t="n"/>
      <c r="C83" s="14" t="n"/>
      <c r="D83" s="14" t="n"/>
      <c r="E83" s="3">
        <f>IF(A83="","",SUMIFS(Payments!$C$5:$C$504,Payments!$B$5:$B$504,A83))</f>
        <v/>
      </c>
      <c r="F83" s="9">
        <f>IF(A83="","",COUNTIFS(Payments!$B$5:$B$504,A83))</f>
        <v/>
      </c>
      <c r="G83" s="5">
        <f>IF(OR(A83="",F83=0),"",_xlfn.MAXIFS(Payments!$A$5:$A$504,Payments!$B$5:$B$504,A83))</f>
        <v/>
      </c>
      <c r="H83" s="14" t="n"/>
    </row>
    <row r="84">
      <c r="A84" s="14" t="n"/>
      <c r="B84" s="14" t="n"/>
      <c r="C84" s="14" t="n"/>
      <c r="D84" s="14" t="n"/>
      <c r="E84" s="3">
        <f>IF(A84="","",SUMIFS(Payments!$C$5:$C$504,Payments!$B$5:$B$504,A84))</f>
        <v/>
      </c>
      <c r="F84" s="9">
        <f>IF(A84="","",COUNTIFS(Payments!$B$5:$B$504,A84))</f>
        <v/>
      </c>
      <c r="G84" s="5">
        <f>IF(OR(A84="",F84=0),"",_xlfn.MAXIFS(Payments!$A$5:$A$504,Payments!$B$5:$B$504,A84))</f>
        <v/>
      </c>
      <c r="H84" s="14" t="n"/>
    </row>
    <row r="85">
      <c r="A85" s="14" t="n"/>
      <c r="B85" s="14" t="n"/>
      <c r="C85" s="14" t="n"/>
      <c r="D85" s="14" t="n"/>
      <c r="E85" s="3">
        <f>IF(A85="","",SUMIFS(Payments!$C$5:$C$504,Payments!$B$5:$B$504,A85))</f>
        <v/>
      </c>
      <c r="F85" s="9">
        <f>IF(A85="","",COUNTIFS(Payments!$B$5:$B$504,A85))</f>
        <v/>
      </c>
      <c r="G85" s="5">
        <f>IF(OR(A85="",F85=0),"",_xlfn.MAXIFS(Payments!$A$5:$A$504,Payments!$B$5:$B$504,A85))</f>
        <v/>
      </c>
      <c r="H85" s="14" t="n"/>
    </row>
    <row r="86">
      <c r="A86" s="14" t="n"/>
      <c r="B86" s="14" t="n"/>
      <c r="C86" s="14" t="n"/>
      <c r="D86" s="14" t="n"/>
      <c r="E86" s="3">
        <f>IF(A86="","",SUMIFS(Payments!$C$5:$C$504,Payments!$B$5:$B$504,A86))</f>
        <v/>
      </c>
      <c r="F86" s="9">
        <f>IF(A86="","",COUNTIFS(Payments!$B$5:$B$504,A86))</f>
        <v/>
      </c>
      <c r="G86" s="5">
        <f>IF(OR(A86="",F86=0),"",_xlfn.MAXIFS(Payments!$A$5:$A$504,Payments!$B$5:$B$504,A86))</f>
        <v/>
      </c>
      <c r="H86" s="14" t="n"/>
    </row>
    <row r="87">
      <c r="A87" s="14" t="n"/>
      <c r="B87" s="14" t="n"/>
      <c r="C87" s="14" t="n"/>
      <c r="D87" s="14" t="n"/>
      <c r="E87" s="3">
        <f>IF(A87="","",SUMIFS(Payments!$C$5:$C$504,Payments!$B$5:$B$504,A87))</f>
        <v/>
      </c>
      <c r="F87" s="9">
        <f>IF(A87="","",COUNTIFS(Payments!$B$5:$B$504,A87))</f>
        <v/>
      </c>
      <c r="G87" s="5">
        <f>IF(OR(A87="",F87=0),"",_xlfn.MAXIFS(Payments!$A$5:$A$504,Payments!$B$5:$B$504,A87))</f>
        <v/>
      </c>
      <c r="H87" s="14" t="n"/>
    </row>
    <row r="88">
      <c r="A88" s="14" t="n"/>
      <c r="B88" s="14" t="n"/>
      <c r="C88" s="14" t="n"/>
      <c r="D88" s="14" t="n"/>
      <c r="E88" s="3">
        <f>IF(A88="","",SUMIFS(Payments!$C$5:$C$504,Payments!$B$5:$B$504,A88))</f>
        <v/>
      </c>
      <c r="F88" s="9">
        <f>IF(A88="","",COUNTIFS(Payments!$B$5:$B$504,A88))</f>
        <v/>
      </c>
      <c r="G88" s="5">
        <f>IF(OR(A88="",F88=0),"",_xlfn.MAXIFS(Payments!$A$5:$A$504,Payments!$B$5:$B$504,A88))</f>
        <v/>
      </c>
      <c r="H88" s="14" t="n"/>
    </row>
    <row r="89">
      <c r="A89" s="14" t="n"/>
      <c r="B89" s="14" t="n"/>
      <c r="C89" s="14" t="n"/>
      <c r="D89" s="14" t="n"/>
      <c r="E89" s="3">
        <f>IF(A89="","",SUMIFS(Payments!$C$5:$C$504,Payments!$B$5:$B$504,A89))</f>
        <v/>
      </c>
      <c r="F89" s="9">
        <f>IF(A89="","",COUNTIFS(Payments!$B$5:$B$504,A89))</f>
        <v/>
      </c>
      <c r="G89" s="5">
        <f>IF(OR(A89="",F89=0),"",_xlfn.MAXIFS(Payments!$A$5:$A$504,Payments!$B$5:$B$504,A89))</f>
        <v/>
      </c>
      <c r="H89" s="14" t="n"/>
    </row>
    <row r="90">
      <c r="A90" s="14" t="n"/>
      <c r="B90" s="14" t="n"/>
      <c r="C90" s="14" t="n"/>
      <c r="D90" s="14" t="n"/>
      <c r="E90" s="3">
        <f>IF(A90="","",SUMIFS(Payments!$C$5:$C$504,Payments!$B$5:$B$504,A90))</f>
        <v/>
      </c>
      <c r="F90" s="9">
        <f>IF(A90="","",COUNTIFS(Payments!$B$5:$B$504,A90))</f>
        <v/>
      </c>
      <c r="G90" s="5">
        <f>IF(OR(A90="",F90=0),"",_xlfn.MAXIFS(Payments!$A$5:$A$504,Payments!$B$5:$B$504,A90))</f>
        <v/>
      </c>
      <c r="H90" s="14" t="n"/>
    </row>
    <row r="91">
      <c r="A91" s="14" t="n"/>
      <c r="B91" s="14" t="n"/>
      <c r="C91" s="14" t="n"/>
      <c r="D91" s="14" t="n"/>
      <c r="E91" s="3">
        <f>IF(A91="","",SUMIFS(Payments!$C$5:$C$504,Payments!$B$5:$B$504,A91))</f>
        <v/>
      </c>
      <c r="F91" s="9">
        <f>IF(A91="","",COUNTIFS(Payments!$B$5:$B$504,A91))</f>
        <v/>
      </c>
      <c r="G91" s="5">
        <f>IF(OR(A91="",F91=0),"",_xlfn.MAXIFS(Payments!$A$5:$A$504,Payments!$B$5:$B$504,A91))</f>
        <v/>
      </c>
      <c r="H91" s="14" t="n"/>
    </row>
    <row r="92">
      <c r="A92" s="14" t="n"/>
      <c r="B92" s="14" t="n"/>
      <c r="C92" s="14" t="n"/>
      <c r="D92" s="14" t="n"/>
      <c r="E92" s="3">
        <f>IF(A92="","",SUMIFS(Payments!$C$5:$C$504,Payments!$B$5:$B$504,A92))</f>
        <v/>
      </c>
      <c r="F92" s="9">
        <f>IF(A92="","",COUNTIFS(Payments!$B$5:$B$504,A92))</f>
        <v/>
      </c>
      <c r="G92" s="5">
        <f>IF(OR(A92="",F92=0),"",_xlfn.MAXIFS(Payments!$A$5:$A$504,Payments!$B$5:$B$504,A92))</f>
        <v/>
      </c>
      <c r="H92" s="14" t="n"/>
    </row>
    <row r="93">
      <c r="A93" s="14" t="n"/>
      <c r="B93" s="14" t="n"/>
      <c r="C93" s="14" t="n"/>
      <c r="D93" s="14" t="n"/>
      <c r="E93" s="3">
        <f>IF(A93="","",SUMIFS(Payments!$C$5:$C$504,Payments!$B$5:$B$504,A93))</f>
        <v/>
      </c>
      <c r="F93" s="9">
        <f>IF(A93="","",COUNTIFS(Payments!$B$5:$B$504,A93))</f>
        <v/>
      </c>
      <c r="G93" s="5">
        <f>IF(OR(A93="",F93=0),"",_xlfn.MAXIFS(Payments!$A$5:$A$504,Payments!$B$5:$B$504,A93))</f>
        <v/>
      </c>
      <c r="H93" s="14" t="n"/>
    </row>
    <row r="94">
      <c r="A94" s="14" t="n"/>
      <c r="B94" s="14" t="n"/>
      <c r="C94" s="14" t="n"/>
      <c r="D94" s="14" t="n"/>
      <c r="E94" s="3">
        <f>IF(A94="","",SUMIFS(Payments!$C$5:$C$504,Payments!$B$5:$B$504,A94))</f>
        <v/>
      </c>
      <c r="F94" s="9">
        <f>IF(A94="","",COUNTIFS(Payments!$B$5:$B$504,A94))</f>
        <v/>
      </c>
      <c r="G94" s="5">
        <f>IF(OR(A94="",F94=0),"",_xlfn.MAXIFS(Payments!$A$5:$A$504,Payments!$B$5:$B$504,A94))</f>
        <v/>
      </c>
      <c r="H94" s="14" t="n"/>
    </row>
    <row r="95">
      <c r="A95" s="14" t="n"/>
      <c r="B95" s="14" t="n"/>
      <c r="C95" s="14" t="n"/>
      <c r="D95" s="14" t="n"/>
      <c r="E95" s="3">
        <f>IF(A95="","",SUMIFS(Payments!$C$5:$C$504,Payments!$B$5:$B$504,A95))</f>
        <v/>
      </c>
      <c r="F95" s="9">
        <f>IF(A95="","",COUNTIFS(Payments!$B$5:$B$504,A95))</f>
        <v/>
      </c>
      <c r="G95" s="5">
        <f>IF(OR(A95="",F95=0),"",_xlfn.MAXIFS(Payments!$A$5:$A$504,Payments!$B$5:$B$504,A95))</f>
        <v/>
      </c>
      <c r="H95" s="14" t="n"/>
    </row>
    <row r="96">
      <c r="A96" s="14" t="n"/>
      <c r="B96" s="14" t="n"/>
      <c r="C96" s="14" t="n"/>
      <c r="D96" s="14" t="n"/>
      <c r="E96" s="3">
        <f>IF(A96="","",SUMIFS(Payments!$C$5:$C$504,Payments!$B$5:$B$504,A96))</f>
        <v/>
      </c>
      <c r="F96" s="9">
        <f>IF(A96="","",COUNTIFS(Payments!$B$5:$B$504,A96))</f>
        <v/>
      </c>
      <c r="G96" s="5">
        <f>IF(OR(A96="",F96=0),"",_xlfn.MAXIFS(Payments!$A$5:$A$504,Payments!$B$5:$B$504,A96))</f>
        <v/>
      </c>
      <c r="H96" s="14" t="n"/>
    </row>
    <row r="97">
      <c r="A97" s="14" t="n"/>
      <c r="B97" s="14" t="n"/>
      <c r="C97" s="14" t="n"/>
      <c r="D97" s="14" t="n"/>
      <c r="E97" s="3">
        <f>IF(A97="","",SUMIFS(Payments!$C$5:$C$504,Payments!$B$5:$B$504,A97))</f>
        <v/>
      </c>
      <c r="F97" s="9">
        <f>IF(A97="","",COUNTIFS(Payments!$B$5:$B$504,A97))</f>
        <v/>
      </c>
      <c r="G97" s="5">
        <f>IF(OR(A97="",F97=0),"",_xlfn.MAXIFS(Payments!$A$5:$A$504,Payments!$B$5:$B$504,A97))</f>
        <v/>
      </c>
      <c r="H97" s="14" t="n"/>
    </row>
    <row r="98">
      <c r="A98" s="14" t="n"/>
      <c r="B98" s="14" t="n"/>
      <c r="C98" s="14" t="n"/>
      <c r="D98" s="14" t="n"/>
      <c r="E98" s="3">
        <f>IF(A98="","",SUMIFS(Payments!$C$5:$C$504,Payments!$B$5:$B$504,A98))</f>
        <v/>
      </c>
      <c r="F98" s="9">
        <f>IF(A98="","",COUNTIFS(Payments!$B$5:$B$504,A98))</f>
        <v/>
      </c>
      <c r="G98" s="5">
        <f>IF(OR(A98="",F98=0),"",_xlfn.MAXIFS(Payments!$A$5:$A$504,Payments!$B$5:$B$504,A98))</f>
        <v/>
      </c>
      <c r="H98" s="14" t="n"/>
    </row>
    <row r="99">
      <c r="A99" s="14" t="n"/>
      <c r="B99" s="14" t="n"/>
      <c r="C99" s="14" t="n"/>
      <c r="D99" s="14" t="n"/>
      <c r="E99" s="3">
        <f>IF(A99="","",SUMIFS(Payments!$C$5:$C$504,Payments!$B$5:$B$504,A99))</f>
        <v/>
      </c>
      <c r="F99" s="9">
        <f>IF(A99="","",COUNTIFS(Payments!$B$5:$B$504,A99))</f>
        <v/>
      </c>
      <c r="G99" s="5">
        <f>IF(OR(A99="",F99=0),"",_xlfn.MAXIFS(Payments!$A$5:$A$504,Payments!$B$5:$B$504,A99))</f>
        <v/>
      </c>
      <c r="H99" s="14" t="n"/>
    </row>
    <row r="100">
      <c r="A100" s="14" t="n"/>
      <c r="B100" s="14" t="n"/>
      <c r="C100" s="14" t="n"/>
      <c r="D100" s="14" t="n"/>
      <c r="E100" s="3">
        <f>IF(A100="","",SUMIFS(Payments!$C$5:$C$504,Payments!$B$5:$B$504,A100))</f>
        <v/>
      </c>
      <c r="F100" s="9">
        <f>IF(A100="","",COUNTIFS(Payments!$B$5:$B$504,A100))</f>
        <v/>
      </c>
      <c r="G100" s="5">
        <f>IF(OR(A100="",F100=0),"",_xlfn.MAXIFS(Payments!$A$5:$A$504,Payments!$B$5:$B$504,A100))</f>
        <v/>
      </c>
      <c r="H100" s="14" t="n"/>
    </row>
    <row r="101">
      <c r="A101" s="14" t="n"/>
      <c r="B101" s="14" t="n"/>
      <c r="C101" s="14" t="n"/>
      <c r="D101" s="14" t="n"/>
      <c r="E101" s="3">
        <f>IF(A101="","",SUMIFS(Payments!$C$5:$C$504,Payments!$B$5:$B$504,A101))</f>
        <v/>
      </c>
      <c r="F101" s="9">
        <f>IF(A101="","",COUNTIFS(Payments!$B$5:$B$504,A101))</f>
        <v/>
      </c>
      <c r="G101" s="5">
        <f>IF(OR(A101="",F101=0),"",_xlfn.MAXIFS(Payments!$A$5:$A$504,Payments!$B$5:$B$504,A101))</f>
        <v/>
      </c>
      <c r="H101" s="14" t="n"/>
    </row>
    <row r="102">
      <c r="A102" s="14" t="n"/>
      <c r="B102" s="14" t="n"/>
      <c r="C102" s="14" t="n"/>
      <c r="D102" s="14" t="n"/>
      <c r="E102" s="3">
        <f>IF(A102="","",SUMIFS(Payments!$C$5:$C$504,Payments!$B$5:$B$504,A102))</f>
        <v/>
      </c>
      <c r="F102" s="9">
        <f>IF(A102="","",COUNTIFS(Payments!$B$5:$B$504,A102))</f>
        <v/>
      </c>
      <c r="G102" s="5">
        <f>IF(OR(A102="",F102=0),"",_xlfn.MAXIFS(Payments!$A$5:$A$504,Payments!$B$5:$B$504,A102))</f>
        <v/>
      </c>
      <c r="H102" s="14" t="n"/>
    </row>
    <row r="103">
      <c r="A103" s="14" t="n"/>
      <c r="B103" s="14" t="n"/>
      <c r="C103" s="14" t="n"/>
      <c r="D103" s="14" t="n"/>
      <c r="E103" s="3">
        <f>IF(A103="","",SUMIFS(Payments!$C$5:$C$504,Payments!$B$5:$B$504,A103))</f>
        <v/>
      </c>
      <c r="F103" s="9">
        <f>IF(A103="","",COUNTIFS(Payments!$B$5:$B$504,A103))</f>
        <v/>
      </c>
      <c r="G103" s="5">
        <f>IF(OR(A103="",F103=0),"",_xlfn.MAXIFS(Payments!$A$5:$A$504,Payments!$B$5:$B$504,A103))</f>
        <v/>
      </c>
      <c r="H103" s="14" t="n"/>
    </row>
    <row r="104">
      <c r="A104" s="14" t="n"/>
      <c r="B104" s="14" t="n"/>
      <c r="C104" s="14" t="n"/>
      <c r="D104" s="14" t="n"/>
      <c r="E104" s="3">
        <f>IF(A104="","",SUMIFS(Payments!$C$5:$C$504,Payments!$B$5:$B$504,A104))</f>
        <v/>
      </c>
      <c r="F104" s="9">
        <f>IF(A104="","",COUNTIFS(Payments!$B$5:$B$504,A104))</f>
        <v/>
      </c>
      <c r="G104" s="5">
        <f>IF(OR(A104="",F104=0),"",_xlfn.MAXIFS(Payments!$A$5:$A$504,Payments!$B$5:$B$504,A104))</f>
        <v/>
      </c>
      <c r="H104" s="14" t="n"/>
    </row>
    <row r="105">
      <c r="A105" s="14" t="n"/>
      <c r="B105" s="14" t="n"/>
      <c r="C105" s="14" t="n"/>
      <c r="D105" s="14" t="n"/>
      <c r="E105" s="3">
        <f>IF(A105="","",SUMIFS(Payments!$C$5:$C$504,Payments!$B$5:$B$504,A105))</f>
        <v/>
      </c>
      <c r="F105" s="9">
        <f>IF(A105="","",COUNTIFS(Payments!$B$5:$B$504,A105))</f>
        <v/>
      </c>
      <c r="G105" s="5">
        <f>IF(OR(A105="",F105=0),"",_xlfn.MAXIFS(Payments!$A$5:$A$504,Payments!$B$5:$B$504,A105))</f>
        <v/>
      </c>
      <c r="H105" s="14" t="n"/>
    </row>
    <row r="106">
      <c r="A106" s="14" t="n"/>
      <c r="B106" s="14" t="n"/>
      <c r="C106" s="14" t="n"/>
      <c r="D106" s="14" t="n"/>
      <c r="E106" s="3">
        <f>IF(A106="","",SUMIFS(Payments!$C$5:$C$504,Payments!$B$5:$B$504,A106))</f>
        <v/>
      </c>
      <c r="F106" s="9">
        <f>IF(A106="","",COUNTIFS(Payments!$B$5:$B$504,A106))</f>
        <v/>
      </c>
      <c r="G106" s="5">
        <f>IF(OR(A106="",F106=0),"",_xlfn.MAXIFS(Payments!$A$5:$A$504,Payments!$B$5:$B$504,A106))</f>
        <v/>
      </c>
      <c r="H106" s="14" t="n"/>
    </row>
    <row r="107">
      <c r="A107" s="14" t="n"/>
      <c r="B107" s="14" t="n"/>
      <c r="C107" s="14" t="n"/>
      <c r="D107" s="14" t="n"/>
      <c r="E107" s="3">
        <f>IF(A107="","",SUMIFS(Payments!$C$5:$C$504,Payments!$B$5:$B$504,A107))</f>
        <v/>
      </c>
      <c r="F107" s="9">
        <f>IF(A107="","",COUNTIFS(Payments!$B$5:$B$504,A107))</f>
        <v/>
      </c>
      <c r="G107" s="5">
        <f>IF(OR(A107="",F107=0),"",_xlfn.MAXIFS(Payments!$A$5:$A$504,Payments!$B$5:$B$504,A107))</f>
        <v/>
      </c>
      <c r="H107" s="14" t="n"/>
    </row>
    <row r="108">
      <c r="A108" s="14" t="n"/>
      <c r="B108" s="14" t="n"/>
      <c r="C108" s="14" t="n"/>
      <c r="D108" s="14" t="n"/>
      <c r="E108" s="3">
        <f>IF(A108="","",SUMIFS(Payments!$C$5:$C$504,Payments!$B$5:$B$504,A108))</f>
        <v/>
      </c>
      <c r="F108" s="9">
        <f>IF(A108="","",COUNTIFS(Payments!$B$5:$B$504,A108))</f>
        <v/>
      </c>
      <c r="G108" s="5">
        <f>IF(OR(A108="",F108=0),"",_xlfn.MAXIFS(Payments!$A$5:$A$504,Payments!$B$5:$B$504,A108))</f>
        <v/>
      </c>
      <c r="H108" s="14" t="n"/>
    </row>
    <row r="109">
      <c r="A109" s="14" t="n"/>
      <c r="B109" s="14" t="n"/>
      <c r="C109" s="14" t="n"/>
      <c r="D109" s="14" t="n"/>
      <c r="E109" s="3">
        <f>IF(A109="","",SUMIFS(Payments!$C$5:$C$504,Payments!$B$5:$B$504,A109))</f>
        <v/>
      </c>
      <c r="F109" s="9">
        <f>IF(A109="","",COUNTIFS(Payments!$B$5:$B$504,A109))</f>
        <v/>
      </c>
      <c r="G109" s="5">
        <f>IF(OR(A109="",F109=0),"",_xlfn.MAXIFS(Payments!$A$5:$A$504,Payments!$B$5:$B$504,A109))</f>
        <v/>
      </c>
      <c r="H109" s="14" t="n"/>
    </row>
    <row r="110">
      <c r="A110" s="14" t="n"/>
      <c r="B110" s="14" t="n"/>
      <c r="C110" s="14" t="n"/>
      <c r="D110" s="14" t="n"/>
      <c r="E110" s="3">
        <f>IF(A110="","",SUMIFS(Payments!$C$5:$C$504,Payments!$B$5:$B$504,A110))</f>
        <v/>
      </c>
      <c r="F110" s="9">
        <f>IF(A110="","",COUNTIFS(Payments!$B$5:$B$504,A110))</f>
        <v/>
      </c>
      <c r="G110" s="5">
        <f>IF(OR(A110="",F110=0),"",_xlfn.MAXIFS(Payments!$A$5:$A$504,Payments!$B$5:$B$504,A110))</f>
        <v/>
      </c>
      <c r="H110" s="14" t="n"/>
    </row>
    <row r="111">
      <c r="A111" s="14" t="n"/>
      <c r="B111" s="14" t="n"/>
      <c r="C111" s="14" t="n"/>
      <c r="D111" s="14" t="n"/>
      <c r="E111" s="3">
        <f>IF(A111="","",SUMIFS(Payments!$C$5:$C$504,Payments!$B$5:$B$504,A111))</f>
        <v/>
      </c>
      <c r="F111" s="9">
        <f>IF(A111="","",COUNTIFS(Payments!$B$5:$B$504,A111))</f>
        <v/>
      </c>
      <c r="G111" s="5">
        <f>IF(OR(A111="",F111=0),"",_xlfn.MAXIFS(Payments!$A$5:$A$504,Payments!$B$5:$B$504,A111))</f>
        <v/>
      </c>
      <c r="H111" s="14" t="n"/>
    </row>
    <row r="112">
      <c r="A112" s="14" t="n"/>
      <c r="B112" s="14" t="n"/>
      <c r="C112" s="14" t="n"/>
      <c r="D112" s="14" t="n"/>
      <c r="E112" s="3">
        <f>IF(A112="","",SUMIFS(Payments!$C$5:$C$504,Payments!$B$5:$B$504,A112))</f>
        <v/>
      </c>
      <c r="F112" s="9">
        <f>IF(A112="","",COUNTIFS(Payments!$B$5:$B$504,A112))</f>
        <v/>
      </c>
      <c r="G112" s="5">
        <f>IF(OR(A112="",F112=0),"",_xlfn.MAXIFS(Payments!$A$5:$A$504,Payments!$B$5:$B$504,A112))</f>
        <v/>
      </c>
      <c r="H112" s="14" t="n"/>
    </row>
    <row r="113">
      <c r="A113" s="14" t="n"/>
      <c r="B113" s="14" t="n"/>
      <c r="C113" s="14" t="n"/>
      <c r="D113" s="14" t="n"/>
      <c r="E113" s="3">
        <f>IF(A113="","",SUMIFS(Payments!$C$5:$C$504,Payments!$B$5:$B$504,A113))</f>
        <v/>
      </c>
      <c r="F113" s="9">
        <f>IF(A113="","",COUNTIFS(Payments!$B$5:$B$504,A113))</f>
        <v/>
      </c>
      <c r="G113" s="5">
        <f>IF(OR(A113="",F113=0),"",_xlfn.MAXIFS(Payments!$A$5:$A$504,Payments!$B$5:$B$504,A113))</f>
        <v/>
      </c>
      <c r="H113" s="14" t="n"/>
    </row>
    <row r="114">
      <c r="A114" s="14" t="n"/>
      <c r="B114" s="14" t="n"/>
      <c r="C114" s="14" t="n"/>
      <c r="D114" s="14" t="n"/>
      <c r="E114" s="3">
        <f>IF(A114="","",SUMIFS(Payments!$C$5:$C$504,Payments!$B$5:$B$504,A114))</f>
        <v/>
      </c>
      <c r="F114" s="9">
        <f>IF(A114="","",COUNTIFS(Payments!$B$5:$B$504,A114))</f>
        <v/>
      </c>
      <c r="G114" s="5">
        <f>IF(OR(A114="",F114=0),"",_xlfn.MAXIFS(Payments!$A$5:$A$504,Payments!$B$5:$B$504,A114))</f>
        <v/>
      </c>
      <c r="H114" s="14" t="n"/>
    </row>
    <row r="115">
      <c r="A115" s="14" t="n"/>
      <c r="B115" s="14" t="n"/>
      <c r="C115" s="14" t="n"/>
      <c r="D115" s="14" t="n"/>
      <c r="E115" s="3">
        <f>IF(A115="","",SUMIFS(Payments!$C$5:$C$504,Payments!$B$5:$B$504,A115))</f>
        <v/>
      </c>
      <c r="F115" s="9">
        <f>IF(A115="","",COUNTIFS(Payments!$B$5:$B$504,A115))</f>
        <v/>
      </c>
      <c r="G115" s="5">
        <f>IF(OR(A115="",F115=0),"",_xlfn.MAXIFS(Payments!$A$5:$A$504,Payments!$B$5:$B$504,A115))</f>
        <v/>
      </c>
      <c r="H115" s="14" t="n"/>
    </row>
    <row r="116">
      <c r="A116" s="14" t="n"/>
      <c r="B116" s="14" t="n"/>
      <c r="C116" s="14" t="n"/>
      <c r="D116" s="14" t="n"/>
      <c r="E116" s="3">
        <f>IF(A116="","",SUMIFS(Payments!$C$5:$C$504,Payments!$B$5:$B$504,A116))</f>
        <v/>
      </c>
      <c r="F116" s="9">
        <f>IF(A116="","",COUNTIFS(Payments!$B$5:$B$504,A116))</f>
        <v/>
      </c>
      <c r="G116" s="5">
        <f>IF(OR(A116="",F116=0),"",_xlfn.MAXIFS(Payments!$A$5:$A$504,Payments!$B$5:$B$504,A116))</f>
        <v/>
      </c>
      <c r="H116" s="14" t="n"/>
    </row>
    <row r="117">
      <c r="A117" s="14" t="n"/>
      <c r="B117" s="14" t="n"/>
      <c r="C117" s="14" t="n"/>
      <c r="D117" s="14" t="n"/>
      <c r="E117" s="3">
        <f>IF(A117="","",SUMIFS(Payments!$C$5:$C$504,Payments!$B$5:$B$504,A117))</f>
        <v/>
      </c>
      <c r="F117" s="9">
        <f>IF(A117="","",COUNTIFS(Payments!$B$5:$B$504,A117))</f>
        <v/>
      </c>
      <c r="G117" s="5">
        <f>IF(OR(A117="",F117=0),"",_xlfn.MAXIFS(Payments!$A$5:$A$504,Payments!$B$5:$B$504,A117))</f>
        <v/>
      </c>
      <c r="H117" s="14" t="n"/>
    </row>
    <row r="118">
      <c r="A118" s="14" t="n"/>
      <c r="B118" s="14" t="n"/>
      <c r="C118" s="14" t="n"/>
      <c r="D118" s="14" t="n"/>
      <c r="E118" s="3">
        <f>IF(A118="","",SUMIFS(Payments!$C$5:$C$504,Payments!$B$5:$B$504,A118))</f>
        <v/>
      </c>
      <c r="F118" s="9">
        <f>IF(A118="","",COUNTIFS(Payments!$B$5:$B$504,A118))</f>
        <v/>
      </c>
      <c r="G118" s="5">
        <f>IF(OR(A118="",F118=0),"",_xlfn.MAXIFS(Payments!$A$5:$A$504,Payments!$B$5:$B$504,A118))</f>
        <v/>
      </c>
      <c r="H118" s="14" t="n"/>
    </row>
    <row r="119">
      <c r="A119" s="14" t="n"/>
      <c r="B119" s="14" t="n"/>
      <c r="C119" s="14" t="n"/>
      <c r="D119" s="14" t="n"/>
      <c r="E119" s="3">
        <f>IF(A119="","",SUMIFS(Payments!$C$5:$C$504,Payments!$B$5:$B$504,A119))</f>
        <v/>
      </c>
      <c r="F119" s="9">
        <f>IF(A119="","",COUNTIFS(Payments!$B$5:$B$504,A119))</f>
        <v/>
      </c>
      <c r="G119" s="5">
        <f>IF(OR(A119="",F119=0),"",_xlfn.MAXIFS(Payments!$A$5:$A$504,Payments!$B$5:$B$504,A119))</f>
        <v/>
      </c>
      <c r="H119" s="14" t="n"/>
    </row>
    <row r="120">
      <c r="A120" s="14" t="n"/>
      <c r="B120" s="14" t="n"/>
      <c r="C120" s="14" t="n"/>
      <c r="D120" s="14" t="n"/>
      <c r="E120" s="3">
        <f>IF(A120="","",SUMIFS(Payments!$C$5:$C$504,Payments!$B$5:$B$504,A120))</f>
        <v/>
      </c>
      <c r="F120" s="9">
        <f>IF(A120="","",COUNTIFS(Payments!$B$5:$B$504,A120))</f>
        <v/>
      </c>
      <c r="G120" s="5">
        <f>IF(OR(A120="",F120=0),"",_xlfn.MAXIFS(Payments!$A$5:$A$504,Payments!$B$5:$B$504,A120))</f>
        <v/>
      </c>
      <c r="H120" s="14" t="n"/>
    </row>
    <row r="121">
      <c r="A121" s="14" t="n"/>
      <c r="B121" s="14" t="n"/>
      <c r="C121" s="14" t="n"/>
      <c r="D121" s="14" t="n"/>
      <c r="E121" s="3">
        <f>IF(A121="","",SUMIFS(Payments!$C$5:$C$504,Payments!$B$5:$B$504,A121))</f>
        <v/>
      </c>
      <c r="F121" s="9">
        <f>IF(A121="","",COUNTIFS(Payments!$B$5:$B$504,A121))</f>
        <v/>
      </c>
      <c r="G121" s="5">
        <f>IF(OR(A121="",F121=0),"",_xlfn.MAXIFS(Payments!$A$5:$A$504,Payments!$B$5:$B$504,A121))</f>
        <v/>
      </c>
      <c r="H121" s="14" t="n"/>
    </row>
    <row r="122">
      <c r="A122" s="14" t="n"/>
      <c r="B122" s="14" t="n"/>
      <c r="C122" s="14" t="n"/>
      <c r="D122" s="14" t="n"/>
      <c r="E122" s="3">
        <f>IF(A122="","",SUMIFS(Payments!$C$5:$C$504,Payments!$B$5:$B$504,A122))</f>
        <v/>
      </c>
      <c r="F122" s="9">
        <f>IF(A122="","",COUNTIFS(Payments!$B$5:$B$504,A122))</f>
        <v/>
      </c>
      <c r="G122" s="5">
        <f>IF(OR(A122="",F122=0),"",_xlfn.MAXIFS(Payments!$A$5:$A$504,Payments!$B$5:$B$504,A122))</f>
        <v/>
      </c>
      <c r="H122" s="14" t="n"/>
    </row>
    <row r="123">
      <c r="A123" s="14" t="n"/>
      <c r="B123" s="14" t="n"/>
      <c r="C123" s="14" t="n"/>
      <c r="D123" s="14" t="n"/>
      <c r="E123" s="3">
        <f>IF(A123="","",SUMIFS(Payments!$C$5:$C$504,Payments!$B$5:$B$504,A123))</f>
        <v/>
      </c>
      <c r="F123" s="9">
        <f>IF(A123="","",COUNTIFS(Payments!$B$5:$B$504,A123))</f>
        <v/>
      </c>
      <c r="G123" s="5">
        <f>IF(OR(A123="",F123=0),"",_xlfn.MAXIFS(Payments!$A$5:$A$504,Payments!$B$5:$B$504,A123))</f>
        <v/>
      </c>
      <c r="H123" s="14" t="n"/>
    </row>
    <row r="124">
      <c r="A124" s="14" t="n"/>
      <c r="B124" s="14" t="n"/>
      <c r="C124" s="14" t="n"/>
      <c r="D124" s="14" t="n"/>
      <c r="E124" s="3">
        <f>IF(A124="","",SUMIFS(Payments!$C$5:$C$504,Payments!$B$5:$B$504,A124))</f>
        <v/>
      </c>
      <c r="F124" s="9">
        <f>IF(A124="","",COUNTIFS(Payments!$B$5:$B$504,A124))</f>
        <v/>
      </c>
      <c r="G124" s="5">
        <f>IF(OR(A124="",F124=0),"",_xlfn.MAXIFS(Payments!$A$5:$A$504,Payments!$B$5:$B$504,A124))</f>
        <v/>
      </c>
      <c r="H124" s="14" t="n"/>
    </row>
    <row r="125">
      <c r="A125" s="14" t="n"/>
      <c r="B125" s="14" t="n"/>
      <c r="C125" s="14" t="n"/>
      <c r="D125" s="14" t="n"/>
      <c r="E125" s="3">
        <f>IF(A125="","",SUMIFS(Payments!$C$5:$C$504,Payments!$B$5:$B$504,A125))</f>
        <v/>
      </c>
      <c r="F125" s="9">
        <f>IF(A125="","",COUNTIFS(Payments!$B$5:$B$504,A125))</f>
        <v/>
      </c>
      <c r="G125" s="5">
        <f>IF(OR(A125="",F125=0),"",_xlfn.MAXIFS(Payments!$A$5:$A$504,Payments!$B$5:$B$504,A125))</f>
        <v/>
      </c>
      <c r="H125" s="14" t="n"/>
    </row>
    <row r="126">
      <c r="A126" s="14" t="n"/>
      <c r="B126" s="14" t="n"/>
      <c r="C126" s="14" t="n"/>
      <c r="D126" s="14" t="n"/>
      <c r="E126" s="3">
        <f>IF(A126="","",SUMIFS(Payments!$C$5:$C$504,Payments!$B$5:$B$504,A126))</f>
        <v/>
      </c>
      <c r="F126" s="9">
        <f>IF(A126="","",COUNTIFS(Payments!$B$5:$B$504,A126))</f>
        <v/>
      </c>
      <c r="G126" s="5">
        <f>IF(OR(A126="",F126=0),"",_xlfn.MAXIFS(Payments!$A$5:$A$504,Payments!$B$5:$B$504,A126))</f>
        <v/>
      </c>
      <c r="H126" s="14" t="n"/>
    </row>
    <row r="127">
      <c r="A127" s="14" t="n"/>
      <c r="B127" s="14" t="n"/>
      <c r="C127" s="14" t="n"/>
      <c r="D127" s="14" t="n"/>
      <c r="E127" s="3">
        <f>IF(A127="","",SUMIFS(Payments!$C$5:$C$504,Payments!$B$5:$B$504,A127))</f>
        <v/>
      </c>
      <c r="F127" s="9">
        <f>IF(A127="","",COUNTIFS(Payments!$B$5:$B$504,A127))</f>
        <v/>
      </c>
      <c r="G127" s="5">
        <f>IF(OR(A127="",F127=0),"",_xlfn.MAXIFS(Payments!$A$5:$A$504,Payments!$B$5:$B$504,A127))</f>
        <v/>
      </c>
      <c r="H127" s="14" t="n"/>
    </row>
    <row r="128">
      <c r="A128" s="14" t="n"/>
      <c r="B128" s="14" t="n"/>
      <c r="C128" s="14" t="n"/>
      <c r="D128" s="14" t="n"/>
      <c r="E128" s="3">
        <f>IF(A128="","",SUMIFS(Payments!$C$5:$C$504,Payments!$B$5:$B$504,A128))</f>
        <v/>
      </c>
      <c r="F128" s="9">
        <f>IF(A128="","",COUNTIFS(Payments!$B$5:$B$504,A128))</f>
        <v/>
      </c>
      <c r="G128" s="5">
        <f>IF(OR(A128="",F128=0),"",_xlfn.MAXIFS(Payments!$A$5:$A$504,Payments!$B$5:$B$504,A128))</f>
        <v/>
      </c>
      <c r="H128" s="14" t="n"/>
    </row>
    <row r="129">
      <c r="A129" s="14" t="n"/>
      <c r="B129" s="14" t="n"/>
      <c r="C129" s="14" t="n"/>
      <c r="D129" s="14" t="n"/>
      <c r="E129" s="3">
        <f>IF(A129="","",SUMIFS(Payments!$C$5:$C$504,Payments!$B$5:$B$504,A129))</f>
        <v/>
      </c>
      <c r="F129" s="9">
        <f>IF(A129="","",COUNTIFS(Payments!$B$5:$B$504,A129))</f>
        <v/>
      </c>
      <c r="G129" s="5">
        <f>IF(OR(A129="",F129=0),"",_xlfn.MAXIFS(Payments!$A$5:$A$504,Payments!$B$5:$B$504,A129))</f>
        <v/>
      </c>
      <c r="H129" s="14" t="n"/>
    </row>
    <row r="130">
      <c r="A130" s="14" t="n"/>
      <c r="B130" s="14" t="n"/>
      <c r="C130" s="14" t="n"/>
      <c r="D130" s="14" t="n"/>
      <c r="E130" s="3">
        <f>IF(A130="","",SUMIFS(Payments!$C$5:$C$504,Payments!$B$5:$B$504,A130))</f>
        <v/>
      </c>
      <c r="F130" s="9">
        <f>IF(A130="","",COUNTIFS(Payments!$B$5:$B$504,A130))</f>
        <v/>
      </c>
      <c r="G130" s="5">
        <f>IF(OR(A130="",F130=0),"",_xlfn.MAXIFS(Payments!$A$5:$A$504,Payments!$B$5:$B$504,A130))</f>
        <v/>
      </c>
      <c r="H130" s="14" t="n"/>
    </row>
    <row r="131">
      <c r="A131" s="14" t="n"/>
      <c r="B131" s="14" t="n"/>
      <c r="C131" s="14" t="n"/>
      <c r="D131" s="14" t="n"/>
      <c r="E131" s="3">
        <f>IF(A131="","",SUMIFS(Payments!$C$5:$C$504,Payments!$B$5:$B$504,A131))</f>
        <v/>
      </c>
      <c r="F131" s="9">
        <f>IF(A131="","",COUNTIFS(Payments!$B$5:$B$504,A131))</f>
        <v/>
      </c>
      <c r="G131" s="5">
        <f>IF(OR(A131="",F131=0),"",_xlfn.MAXIFS(Payments!$A$5:$A$504,Payments!$B$5:$B$504,A131))</f>
        <v/>
      </c>
      <c r="H131" s="14" t="n"/>
    </row>
    <row r="132">
      <c r="A132" s="14" t="n"/>
      <c r="B132" s="14" t="n"/>
      <c r="C132" s="14" t="n"/>
      <c r="D132" s="14" t="n"/>
      <c r="E132" s="3">
        <f>IF(A132="","",SUMIFS(Payments!$C$5:$C$504,Payments!$B$5:$B$504,A132))</f>
        <v/>
      </c>
      <c r="F132" s="9">
        <f>IF(A132="","",COUNTIFS(Payments!$B$5:$B$504,A132))</f>
        <v/>
      </c>
      <c r="G132" s="5">
        <f>IF(OR(A132="",F132=0),"",_xlfn.MAXIFS(Payments!$A$5:$A$504,Payments!$B$5:$B$504,A132))</f>
        <v/>
      </c>
      <c r="H132" s="14" t="n"/>
    </row>
    <row r="133">
      <c r="A133" s="14" t="n"/>
      <c r="B133" s="14" t="n"/>
      <c r="C133" s="14" t="n"/>
      <c r="D133" s="14" t="n"/>
      <c r="E133" s="3">
        <f>IF(A133="","",SUMIFS(Payments!$C$5:$C$504,Payments!$B$5:$B$504,A133))</f>
        <v/>
      </c>
      <c r="F133" s="9">
        <f>IF(A133="","",COUNTIFS(Payments!$B$5:$B$504,A133))</f>
        <v/>
      </c>
      <c r="G133" s="5">
        <f>IF(OR(A133="",F133=0),"",_xlfn.MAXIFS(Payments!$A$5:$A$504,Payments!$B$5:$B$504,A133))</f>
        <v/>
      </c>
      <c r="H133" s="14" t="n"/>
    </row>
    <row r="134">
      <c r="A134" s="14" t="n"/>
      <c r="B134" s="14" t="n"/>
      <c r="C134" s="14" t="n"/>
      <c r="D134" s="14" t="n"/>
      <c r="E134" s="3">
        <f>IF(A134="","",SUMIFS(Payments!$C$5:$C$504,Payments!$B$5:$B$504,A134))</f>
        <v/>
      </c>
      <c r="F134" s="9">
        <f>IF(A134="","",COUNTIFS(Payments!$B$5:$B$504,A134))</f>
        <v/>
      </c>
      <c r="G134" s="5">
        <f>IF(OR(A134="",F134=0),"",_xlfn.MAXIFS(Payments!$A$5:$A$504,Payments!$B$5:$B$504,A134))</f>
        <v/>
      </c>
      <c r="H134" s="14" t="n"/>
    </row>
    <row r="135">
      <c r="A135" s="14" t="n"/>
      <c r="B135" s="14" t="n"/>
      <c r="C135" s="14" t="n"/>
      <c r="D135" s="14" t="n"/>
      <c r="E135" s="3">
        <f>IF(A135="","",SUMIFS(Payments!$C$5:$C$504,Payments!$B$5:$B$504,A135))</f>
        <v/>
      </c>
      <c r="F135" s="9">
        <f>IF(A135="","",COUNTIFS(Payments!$B$5:$B$504,A135))</f>
        <v/>
      </c>
      <c r="G135" s="5">
        <f>IF(OR(A135="",F135=0),"",_xlfn.MAXIFS(Payments!$A$5:$A$504,Payments!$B$5:$B$504,A135))</f>
        <v/>
      </c>
      <c r="H135" s="14" t="n"/>
    </row>
    <row r="136">
      <c r="A136" s="14" t="n"/>
      <c r="B136" s="14" t="n"/>
      <c r="C136" s="14" t="n"/>
      <c r="D136" s="14" t="n"/>
      <c r="E136" s="3">
        <f>IF(A136="","",SUMIFS(Payments!$C$5:$C$504,Payments!$B$5:$B$504,A136))</f>
        <v/>
      </c>
      <c r="F136" s="9">
        <f>IF(A136="","",COUNTIFS(Payments!$B$5:$B$504,A136))</f>
        <v/>
      </c>
      <c r="G136" s="5">
        <f>IF(OR(A136="",F136=0),"",_xlfn.MAXIFS(Payments!$A$5:$A$504,Payments!$B$5:$B$504,A136))</f>
        <v/>
      </c>
      <c r="H136" s="14" t="n"/>
    </row>
    <row r="137">
      <c r="A137" s="14" t="n"/>
      <c r="B137" s="14" t="n"/>
      <c r="C137" s="14" t="n"/>
      <c r="D137" s="14" t="n"/>
      <c r="E137" s="3">
        <f>IF(A137="","",SUMIFS(Payments!$C$5:$C$504,Payments!$B$5:$B$504,A137))</f>
        <v/>
      </c>
      <c r="F137" s="9">
        <f>IF(A137="","",COUNTIFS(Payments!$B$5:$B$504,A137))</f>
        <v/>
      </c>
      <c r="G137" s="5">
        <f>IF(OR(A137="",F137=0),"",_xlfn.MAXIFS(Payments!$A$5:$A$504,Payments!$B$5:$B$504,A137))</f>
        <v/>
      </c>
      <c r="H137" s="14" t="n"/>
    </row>
    <row r="138">
      <c r="A138" s="14" t="n"/>
      <c r="B138" s="14" t="n"/>
      <c r="C138" s="14" t="n"/>
      <c r="D138" s="14" t="n"/>
      <c r="E138" s="3">
        <f>IF(A138="","",SUMIFS(Payments!$C$5:$C$504,Payments!$B$5:$B$504,A138))</f>
        <v/>
      </c>
      <c r="F138" s="9">
        <f>IF(A138="","",COUNTIFS(Payments!$B$5:$B$504,A138))</f>
        <v/>
      </c>
      <c r="G138" s="5">
        <f>IF(OR(A138="",F138=0),"",_xlfn.MAXIFS(Payments!$A$5:$A$504,Payments!$B$5:$B$504,A138))</f>
        <v/>
      </c>
      <c r="H138" s="14" t="n"/>
    </row>
    <row r="139">
      <c r="A139" s="14" t="n"/>
      <c r="B139" s="14" t="n"/>
      <c r="C139" s="14" t="n"/>
      <c r="D139" s="14" t="n"/>
      <c r="E139" s="3">
        <f>IF(A139="","",SUMIFS(Payments!$C$5:$C$504,Payments!$B$5:$B$504,A139))</f>
        <v/>
      </c>
      <c r="F139" s="9">
        <f>IF(A139="","",COUNTIFS(Payments!$B$5:$B$504,A139))</f>
        <v/>
      </c>
      <c r="G139" s="5">
        <f>IF(OR(A139="",F139=0),"",_xlfn.MAXIFS(Payments!$A$5:$A$504,Payments!$B$5:$B$504,A139))</f>
        <v/>
      </c>
      <c r="H139" s="14" t="n"/>
    </row>
    <row r="140">
      <c r="A140" s="14" t="n"/>
      <c r="B140" s="14" t="n"/>
      <c r="C140" s="14" t="n"/>
      <c r="D140" s="14" t="n"/>
      <c r="E140" s="3">
        <f>IF(A140="","",SUMIFS(Payments!$C$5:$C$504,Payments!$B$5:$B$504,A140))</f>
        <v/>
      </c>
      <c r="F140" s="9">
        <f>IF(A140="","",COUNTIFS(Payments!$B$5:$B$504,A140))</f>
        <v/>
      </c>
      <c r="G140" s="5">
        <f>IF(OR(A140="",F140=0),"",_xlfn.MAXIFS(Payments!$A$5:$A$504,Payments!$B$5:$B$504,A140))</f>
        <v/>
      </c>
      <c r="H140" s="14" t="n"/>
    </row>
    <row r="141">
      <c r="A141" s="14" t="n"/>
      <c r="B141" s="14" t="n"/>
      <c r="C141" s="14" t="n"/>
      <c r="D141" s="14" t="n"/>
      <c r="E141" s="3">
        <f>IF(A141="","",SUMIFS(Payments!$C$5:$C$504,Payments!$B$5:$B$504,A141))</f>
        <v/>
      </c>
      <c r="F141" s="9">
        <f>IF(A141="","",COUNTIFS(Payments!$B$5:$B$504,A141))</f>
        <v/>
      </c>
      <c r="G141" s="5">
        <f>IF(OR(A141="",F141=0),"",_xlfn.MAXIFS(Payments!$A$5:$A$504,Payments!$B$5:$B$504,A141))</f>
        <v/>
      </c>
      <c r="H141" s="14" t="n"/>
    </row>
    <row r="142">
      <c r="A142" s="14" t="n"/>
      <c r="B142" s="14" t="n"/>
      <c r="C142" s="14" t="n"/>
      <c r="D142" s="14" t="n"/>
      <c r="E142" s="3">
        <f>IF(A142="","",SUMIFS(Payments!$C$5:$C$504,Payments!$B$5:$B$504,A142))</f>
        <v/>
      </c>
      <c r="F142" s="9">
        <f>IF(A142="","",COUNTIFS(Payments!$B$5:$B$504,A142))</f>
        <v/>
      </c>
      <c r="G142" s="5">
        <f>IF(OR(A142="",F142=0),"",_xlfn.MAXIFS(Payments!$A$5:$A$504,Payments!$B$5:$B$504,A142))</f>
        <v/>
      </c>
      <c r="H142" s="14" t="n"/>
    </row>
    <row r="143">
      <c r="A143" s="14" t="n"/>
      <c r="B143" s="14" t="n"/>
      <c r="C143" s="14" t="n"/>
      <c r="D143" s="14" t="n"/>
      <c r="E143" s="3">
        <f>IF(A143="","",SUMIFS(Payments!$C$5:$C$504,Payments!$B$5:$B$504,A143))</f>
        <v/>
      </c>
      <c r="F143" s="9">
        <f>IF(A143="","",COUNTIFS(Payments!$B$5:$B$504,A143))</f>
        <v/>
      </c>
      <c r="G143" s="5">
        <f>IF(OR(A143="",F143=0),"",_xlfn.MAXIFS(Payments!$A$5:$A$504,Payments!$B$5:$B$504,A143))</f>
        <v/>
      </c>
      <c r="H143" s="14" t="n"/>
    </row>
    <row r="144">
      <c r="A144" s="14" t="n"/>
      <c r="B144" s="14" t="n"/>
      <c r="C144" s="14" t="n"/>
      <c r="D144" s="14" t="n"/>
      <c r="E144" s="3">
        <f>IF(A144="","",SUMIFS(Payments!$C$5:$C$504,Payments!$B$5:$B$504,A144))</f>
        <v/>
      </c>
      <c r="F144" s="9">
        <f>IF(A144="","",COUNTIFS(Payments!$B$5:$B$504,A144))</f>
        <v/>
      </c>
      <c r="G144" s="5">
        <f>IF(OR(A144="",F144=0),"",_xlfn.MAXIFS(Payments!$A$5:$A$504,Payments!$B$5:$B$504,A144))</f>
        <v/>
      </c>
      <c r="H144" s="14" t="n"/>
    </row>
    <row r="145">
      <c r="A145" s="14" t="n"/>
      <c r="B145" s="14" t="n"/>
      <c r="C145" s="14" t="n"/>
      <c r="D145" s="14" t="n"/>
      <c r="E145" s="3">
        <f>IF(A145="","",SUMIFS(Payments!$C$5:$C$504,Payments!$B$5:$B$504,A145))</f>
        <v/>
      </c>
      <c r="F145" s="9">
        <f>IF(A145="","",COUNTIFS(Payments!$B$5:$B$504,A145))</f>
        <v/>
      </c>
      <c r="G145" s="5">
        <f>IF(OR(A145="",F145=0),"",_xlfn.MAXIFS(Payments!$A$5:$A$504,Payments!$B$5:$B$504,A145))</f>
        <v/>
      </c>
      <c r="H145" s="14" t="n"/>
    </row>
    <row r="146">
      <c r="A146" s="14" t="n"/>
      <c r="B146" s="14" t="n"/>
      <c r="C146" s="14" t="n"/>
      <c r="D146" s="14" t="n"/>
      <c r="E146" s="3">
        <f>IF(A146="","",SUMIFS(Payments!$C$5:$C$504,Payments!$B$5:$B$504,A146))</f>
        <v/>
      </c>
      <c r="F146" s="9">
        <f>IF(A146="","",COUNTIFS(Payments!$B$5:$B$504,A146))</f>
        <v/>
      </c>
      <c r="G146" s="5">
        <f>IF(OR(A146="",F146=0),"",_xlfn.MAXIFS(Payments!$A$5:$A$504,Payments!$B$5:$B$504,A146))</f>
        <v/>
      </c>
      <c r="H146" s="14" t="n"/>
    </row>
    <row r="147">
      <c r="A147" s="14" t="n"/>
      <c r="B147" s="14" t="n"/>
      <c r="C147" s="14" t="n"/>
      <c r="D147" s="14" t="n"/>
      <c r="E147" s="3">
        <f>IF(A147="","",SUMIFS(Payments!$C$5:$C$504,Payments!$B$5:$B$504,A147))</f>
        <v/>
      </c>
      <c r="F147" s="9">
        <f>IF(A147="","",COUNTIFS(Payments!$B$5:$B$504,A147))</f>
        <v/>
      </c>
      <c r="G147" s="5">
        <f>IF(OR(A147="",F147=0),"",_xlfn.MAXIFS(Payments!$A$5:$A$504,Payments!$B$5:$B$504,A147))</f>
        <v/>
      </c>
      <c r="H147" s="14" t="n"/>
    </row>
    <row r="148">
      <c r="A148" s="14" t="n"/>
      <c r="B148" s="14" t="n"/>
      <c r="C148" s="14" t="n"/>
      <c r="D148" s="14" t="n"/>
      <c r="E148" s="3">
        <f>IF(A148="","",SUMIFS(Payments!$C$5:$C$504,Payments!$B$5:$B$504,A148))</f>
        <v/>
      </c>
      <c r="F148" s="9">
        <f>IF(A148="","",COUNTIFS(Payments!$B$5:$B$504,A148))</f>
        <v/>
      </c>
      <c r="G148" s="5">
        <f>IF(OR(A148="",F148=0),"",_xlfn.MAXIFS(Payments!$A$5:$A$504,Payments!$B$5:$B$504,A148))</f>
        <v/>
      </c>
      <c r="H148" s="14" t="n"/>
    </row>
    <row r="149">
      <c r="A149" s="14" t="n"/>
      <c r="B149" s="14" t="n"/>
      <c r="C149" s="14" t="n"/>
      <c r="D149" s="14" t="n"/>
      <c r="E149" s="3">
        <f>IF(A149="","",SUMIFS(Payments!$C$5:$C$504,Payments!$B$5:$B$504,A149))</f>
        <v/>
      </c>
      <c r="F149" s="9">
        <f>IF(A149="","",COUNTIFS(Payments!$B$5:$B$504,A149))</f>
        <v/>
      </c>
      <c r="G149" s="5">
        <f>IF(OR(A149="",F149=0),"",_xlfn.MAXIFS(Payments!$A$5:$A$504,Payments!$B$5:$B$504,A149))</f>
        <v/>
      </c>
      <c r="H149" s="14" t="n"/>
    </row>
    <row r="150">
      <c r="A150" s="14" t="n"/>
      <c r="B150" s="14" t="n"/>
      <c r="C150" s="14" t="n"/>
      <c r="D150" s="14" t="n"/>
      <c r="E150" s="3">
        <f>IF(A150="","",SUMIFS(Payments!$C$5:$C$504,Payments!$B$5:$B$504,A150))</f>
        <v/>
      </c>
      <c r="F150" s="9">
        <f>IF(A150="","",COUNTIFS(Payments!$B$5:$B$504,A150))</f>
        <v/>
      </c>
      <c r="G150" s="5">
        <f>IF(OR(A150="",F150=0),"",_xlfn.MAXIFS(Payments!$A$5:$A$504,Payments!$B$5:$B$504,A150))</f>
        <v/>
      </c>
      <c r="H150" s="14" t="n"/>
    </row>
    <row r="151">
      <c r="A151" s="14" t="n"/>
      <c r="B151" s="14" t="n"/>
      <c r="C151" s="14" t="n"/>
      <c r="D151" s="14" t="n"/>
      <c r="E151" s="3">
        <f>IF(A151="","",SUMIFS(Payments!$C$5:$C$504,Payments!$B$5:$B$504,A151))</f>
        <v/>
      </c>
      <c r="F151" s="9">
        <f>IF(A151="","",COUNTIFS(Payments!$B$5:$B$504,A151))</f>
        <v/>
      </c>
      <c r="G151" s="5">
        <f>IF(OR(A151="",F151=0),"",_xlfn.MAXIFS(Payments!$A$5:$A$504,Payments!$B$5:$B$504,A151))</f>
        <v/>
      </c>
      <c r="H151" s="14" t="n"/>
    </row>
    <row r="152">
      <c r="A152" s="14" t="n"/>
      <c r="B152" s="14" t="n"/>
      <c r="C152" s="14" t="n"/>
      <c r="D152" s="14" t="n"/>
      <c r="E152" s="3">
        <f>IF(A152="","",SUMIFS(Payments!$C$5:$C$504,Payments!$B$5:$B$504,A152))</f>
        <v/>
      </c>
      <c r="F152" s="9">
        <f>IF(A152="","",COUNTIFS(Payments!$B$5:$B$504,A152))</f>
        <v/>
      </c>
      <c r="G152" s="5">
        <f>IF(OR(A152="",F152=0),"",_xlfn.MAXIFS(Payments!$A$5:$A$504,Payments!$B$5:$B$504,A152))</f>
        <v/>
      </c>
      <c r="H152" s="14" t="n"/>
    </row>
    <row r="153">
      <c r="A153" s="14" t="n"/>
      <c r="B153" s="14" t="n"/>
      <c r="C153" s="14" t="n"/>
      <c r="D153" s="14" t="n"/>
      <c r="E153" s="3">
        <f>IF(A153="","",SUMIFS(Payments!$C$5:$C$504,Payments!$B$5:$B$504,A153))</f>
        <v/>
      </c>
      <c r="F153" s="9">
        <f>IF(A153="","",COUNTIFS(Payments!$B$5:$B$504,A153))</f>
        <v/>
      </c>
      <c r="G153" s="5">
        <f>IF(OR(A153="",F153=0),"",_xlfn.MAXIFS(Payments!$A$5:$A$504,Payments!$B$5:$B$504,A153))</f>
        <v/>
      </c>
      <c r="H153" s="14" t="n"/>
    </row>
    <row r="154">
      <c r="A154" s="14" t="n"/>
      <c r="B154" s="14" t="n"/>
      <c r="C154" s="14" t="n"/>
      <c r="D154" s="14" t="n"/>
      <c r="E154" s="3">
        <f>IF(A154="","",SUMIFS(Payments!$C$5:$C$504,Payments!$B$5:$B$504,A154))</f>
        <v/>
      </c>
      <c r="F154" s="9">
        <f>IF(A154="","",COUNTIFS(Payments!$B$5:$B$504,A154))</f>
        <v/>
      </c>
      <c r="G154" s="5">
        <f>IF(OR(A154="",F154=0),"",_xlfn.MAXIFS(Payments!$A$5:$A$504,Payments!$B$5:$B$504,A154))</f>
        <v/>
      </c>
      <c r="H154" s="14" t="n"/>
    </row>
    <row r="155">
      <c r="A155" s="14" t="n"/>
      <c r="B155" s="14" t="n"/>
      <c r="C155" s="14" t="n"/>
      <c r="D155" s="14" t="n"/>
      <c r="E155" s="3">
        <f>IF(A155="","",SUMIFS(Payments!$C$5:$C$504,Payments!$B$5:$B$504,A155))</f>
        <v/>
      </c>
      <c r="F155" s="9">
        <f>IF(A155="","",COUNTIFS(Payments!$B$5:$B$504,A155))</f>
        <v/>
      </c>
      <c r="G155" s="5">
        <f>IF(OR(A155="",F155=0),"",_xlfn.MAXIFS(Payments!$A$5:$A$504,Payments!$B$5:$B$504,A155))</f>
        <v/>
      </c>
      <c r="H155" s="14" t="n"/>
    </row>
    <row r="156">
      <c r="A156" s="14" t="n"/>
      <c r="B156" s="14" t="n"/>
      <c r="C156" s="14" t="n"/>
      <c r="D156" s="14" t="n"/>
      <c r="E156" s="3">
        <f>IF(A156="","",SUMIFS(Payments!$C$5:$C$504,Payments!$B$5:$B$504,A156))</f>
        <v/>
      </c>
      <c r="F156" s="9">
        <f>IF(A156="","",COUNTIFS(Payments!$B$5:$B$504,A156))</f>
        <v/>
      </c>
      <c r="G156" s="5">
        <f>IF(OR(A156="",F156=0),"",_xlfn.MAXIFS(Payments!$A$5:$A$504,Payments!$B$5:$B$504,A156))</f>
        <v/>
      </c>
      <c r="H156" s="14" t="n"/>
    </row>
    <row r="157">
      <c r="A157" s="14" t="n"/>
      <c r="B157" s="14" t="n"/>
      <c r="C157" s="14" t="n"/>
      <c r="D157" s="14" t="n"/>
      <c r="E157" s="3">
        <f>IF(A157="","",SUMIFS(Payments!$C$5:$C$504,Payments!$B$5:$B$504,A157))</f>
        <v/>
      </c>
      <c r="F157" s="9">
        <f>IF(A157="","",COUNTIFS(Payments!$B$5:$B$504,A157))</f>
        <v/>
      </c>
      <c r="G157" s="5">
        <f>IF(OR(A157="",F157=0),"",_xlfn.MAXIFS(Payments!$A$5:$A$504,Payments!$B$5:$B$504,A157))</f>
        <v/>
      </c>
      <c r="H157" s="14" t="n"/>
    </row>
    <row r="158">
      <c r="A158" s="14" t="n"/>
      <c r="B158" s="14" t="n"/>
      <c r="C158" s="14" t="n"/>
      <c r="D158" s="14" t="n"/>
      <c r="E158" s="3">
        <f>IF(A158="","",SUMIFS(Payments!$C$5:$C$504,Payments!$B$5:$B$504,A158))</f>
        <v/>
      </c>
      <c r="F158" s="9">
        <f>IF(A158="","",COUNTIFS(Payments!$B$5:$B$504,A158))</f>
        <v/>
      </c>
      <c r="G158" s="5">
        <f>IF(OR(A158="",F158=0),"",_xlfn.MAXIFS(Payments!$A$5:$A$504,Payments!$B$5:$B$504,A158))</f>
        <v/>
      </c>
      <c r="H158" s="14" t="n"/>
    </row>
    <row r="159">
      <c r="A159" s="14" t="n"/>
      <c r="B159" s="14" t="n"/>
      <c r="C159" s="14" t="n"/>
      <c r="D159" s="14" t="n"/>
      <c r="E159" s="3">
        <f>IF(A159="","",SUMIFS(Payments!$C$5:$C$504,Payments!$B$5:$B$504,A159))</f>
        <v/>
      </c>
      <c r="F159" s="9">
        <f>IF(A159="","",COUNTIFS(Payments!$B$5:$B$504,A159))</f>
        <v/>
      </c>
      <c r="G159" s="5">
        <f>IF(OR(A159="",F159=0),"",_xlfn.MAXIFS(Payments!$A$5:$A$504,Payments!$B$5:$B$504,A159))</f>
        <v/>
      </c>
      <c r="H159" s="14" t="n"/>
    </row>
    <row r="160">
      <c r="A160" s="14" t="n"/>
      <c r="B160" s="14" t="n"/>
      <c r="C160" s="14" t="n"/>
      <c r="D160" s="14" t="n"/>
      <c r="E160" s="3">
        <f>IF(A160="","",SUMIFS(Payments!$C$5:$C$504,Payments!$B$5:$B$504,A160))</f>
        <v/>
      </c>
      <c r="F160" s="9">
        <f>IF(A160="","",COUNTIFS(Payments!$B$5:$B$504,A160))</f>
        <v/>
      </c>
      <c r="G160" s="5">
        <f>IF(OR(A160="",F160=0),"",_xlfn.MAXIFS(Payments!$A$5:$A$504,Payments!$B$5:$B$504,A160))</f>
        <v/>
      </c>
      <c r="H160" s="14" t="n"/>
    </row>
    <row r="161">
      <c r="A161" s="14" t="n"/>
      <c r="B161" s="14" t="n"/>
      <c r="C161" s="14" t="n"/>
      <c r="D161" s="14" t="n"/>
      <c r="E161" s="3">
        <f>IF(A161="","",SUMIFS(Payments!$C$5:$C$504,Payments!$B$5:$B$504,A161))</f>
        <v/>
      </c>
      <c r="F161" s="9">
        <f>IF(A161="","",COUNTIFS(Payments!$B$5:$B$504,A161))</f>
        <v/>
      </c>
      <c r="G161" s="5">
        <f>IF(OR(A161="",F161=0),"",_xlfn.MAXIFS(Payments!$A$5:$A$504,Payments!$B$5:$B$504,A161))</f>
        <v/>
      </c>
      <c r="H161" s="14" t="n"/>
    </row>
    <row r="162">
      <c r="A162" s="14" t="n"/>
      <c r="B162" s="14" t="n"/>
      <c r="C162" s="14" t="n"/>
      <c r="D162" s="14" t="n"/>
      <c r="E162" s="3">
        <f>IF(A162="","",SUMIFS(Payments!$C$5:$C$504,Payments!$B$5:$B$504,A162))</f>
        <v/>
      </c>
      <c r="F162" s="9">
        <f>IF(A162="","",COUNTIFS(Payments!$B$5:$B$504,A162))</f>
        <v/>
      </c>
      <c r="G162" s="5">
        <f>IF(OR(A162="",F162=0),"",_xlfn.MAXIFS(Payments!$A$5:$A$504,Payments!$B$5:$B$504,A162))</f>
        <v/>
      </c>
      <c r="H162" s="14" t="n"/>
    </row>
    <row r="163">
      <c r="A163" s="14" t="n"/>
      <c r="B163" s="14" t="n"/>
      <c r="C163" s="14" t="n"/>
      <c r="D163" s="14" t="n"/>
      <c r="E163" s="3">
        <f>IF(A163="","",SUMIFS(Payments!$C$5:$C$504,Payments!$B$5:$B$504,A163))</f>
        <v/>
      </c>
      <c r="F163" s="9">
        <f>IF(A163="","",COUNTIFS(Payments!$B$5:$B$504,A163))</f>
        <v/>
      </c>
      <c r="G163" s="5">
        <f>IF(OR(A163="",F163=0),"",_xlfn.MAXIFS(Payments!$A$5:$A$504,Payments!$B$5:$B$504,A163))</f>
        <v/>
      </c>
      <c r="H163" s="14" t="n"/>
    </row>
    <row r="164">
      <c r="A164" s="14" t="n"/>
      <c r="B164" s="14" t="n"/>
      <c r="C164" s="14" t="n"/>
      <c r="D164" s="14" t="n"/>
      <c r="E164" s="3">
        <f>IF(A164="","",SUMIFS(Payments!$C$5:$C$504,Payments!$B$5:$B$504,A164))</f>
        <v/>
      </c>
      <c r="F164" s="9">
        <f>IF(A164="","",COUNTIFS(Payments!$B$5:$B$504,A164))</f>
        <v/>
      </c>
      <c r="G164" s="5">
        <f>IF(OR(A164="",F164=0),"",_xlfn.MAXIFS(Payments!$A$5:$A$504,Payments!$B$5:$B$504,A164))</f>
        <v/>
      </c>
      <c r="H164" s="14" t="n"/>
    </row>
    <row r="165">
      <c r="A165" s="14" t="n"/>
      <c r="B165" s="14" t="n"/>
      <c r="C165" s="14" t="n"/>
      <c r="D165" s="14" t="n"/>
      <c r="E165" s="3">
        <f>IF(A165="","",SUMIFS(Payments!$C$5:$C$504,Payments!$B$5:$B$504,A165))</f>
        <v/>
      </c>
      <c r="F165" s="9">
        <f>IF(A165="","",COUNTIFS(Payments!$B$5:$B$504,A165))</f>
        <v/>
      </c>
      <c r="G165" s="5">
        <f>IF(OR(A165="",F165=0),"",_xlfn.MAXIFS(Payments!$A$5:$A$504,Payments!$B$5:$B$504,A165))</f>
        <v/>
      </c>
      <c r="H165" s="14" t="n"/>
    </row>
    <row r="166">
      <c r="A166" s="14" t="n"/>
      <c r="B166" s="14" t="n"/>
      <c r="C166" s="14" t="n"/>
      <c r="D166" s="14" t="n"/>
      <c r="E166" s="3">
        <f>IF(A166="","",SUMIFS(Payments!$C$5:$C$504,Payments!$B$5:$B$504,A166))</f>
        <v/>
      </c>
      <c r="F166" s="9">
        <f>IF(A166="","",COUNTIFS(Payments!$B$5:$B$504,A166))</f>
        <v/>
      </c>
      <c r="G166" s="5">
        <f>IF(OR(A166="",F166=0),"",_xlfn.MAXIFS(Payments!$A$5:$A$504,Payments!$B$5:$B$504,A166))</f>
        <v/>
      </c>
      <c r="H166" s="14" t="n"/>
    </row>
    <row r="167">
      <c r="A167" s="14" t="n"/>
      <c r="B167" s="14" t="n"/>
      <c r="C167" s="14" t="n"/>
      <c r="D167" s="14" t="n"/>
      <c r="E167" s="3">
        <f>IF(A167="","",SUMIFS(Payments!$C$5:$C$504,Payments!$B$5:$B$504,A167))</f>
        <v/>
      </c>
      <c r="F167" s="9">
        <f>IF(A167="","",COUNTIFS(Payments!$B$5:$B$504,A167))</f>
        <v/>
      </c>
      <c r="G167" s="5">
        <f>IF(OR(A167="",F167=0),"",_xlfn.MAXIFS(Payments!$A$5:$A$504,Payments!$B$5:$B$504,A167))</f>
        <v/>
      </c>
      <c r="H167" s="14" t="n"/>
    </row>
    <row r="168">
      <c r="A168" s="14" t="n"/>
      <c r="B168" s="14" t="n"/>
      <c r="C168" s="14" t="n"/>
      <c r="D168" s="14" t="n"/>
      <c r="E168" s="3">
        <f>IF(A168="","",SUMIFS(Payments!$C$5:$C$504,Payments!$B$5:$B$504,A168))</f>
        <v/>
      </c>
      <c r="F168" s="9">
        <f>IF(A168="","",COUNTIFS(Payments!$B$5:$B$504,A168))</f>
        <v/>
      </c>
      <c r="G168" s="5">
        <f>IF(OR(A168="",F168=0),"",_xlfn.MAXIFS(Payments!$A$5:$A$504,Payments!$B$5:$B$504,A168))</f>
        <v/>
      </c>
      <c r="H168" s="14" t="n"/>
    </row>
    <row r="169">
      <c r="A169" s="14" t="n"/>
      <c r="B169" s="14" t="n"/>
      <c r="C169" s="14" t="n"/>
      <c r="D169" s="14" t="n"/>
      <c r="E169" s="3">
        <f>IF(A169="","",SUMIFS(Payments!$C$5:$C$504,Payments!$B$5:$B$504,A169))</f>
        <v/>
      </c>
      <c r="F169" s="9">
        <f>IF(A169="","",COUNTIFS(Payments!$B$5:$B$504,A169))</f>
        <v/>
      </c>
      <c r="G169" s="5">
        <f>IF(OR(A169="",F169=0),"",_xlfn.MAXIFS(Payments!$A$5:$A$504,Payments!$B$5:$B$504,A169))</f>
        <v/>
      </c>
      <c r="H169" s="14" t="n"/>
    </row>
    <row r="170">
      <c r="A170" s="14" t="n"/>
      <c r="B170" s="14" t="n"/>
      <c r="C170" s="14" t="n"/>
      <c r="D170" s="14" t="n"/>
      <c r="E170" s="3">
        <f>IF(A170="","",SUMIFS(Payments!$C$5:$C$504,Payments!$B$5:$B$504,A170))</f>
        <v/>
      </c>
      <c r="F170" s="9">
        <f>IF(A170="","",COUNTIFS(Payments!$B$5:$B$504,A170))</f>
        <v/>
      </c>
      <c r="G170" s="5">
        <f>IF(OR(A170="",F170=0),"",_xlfn.MAXIFS(Payments!$A$5:$A$504,Payments!$B$5:$B$504,A170))</f>
        <v/>
      </c>
      <c r="H170" s="14" t="n"/>
    </row>
    <row r="171">
      <c r="A171" s="14" t="n"/>
      <c r="B171" s="14" t="n"/>
      <c r="C171" s="14" t="n"/>
      <c r="D171" s="14" t="n"/>
      <c r="E171" s="3">
        <f>IF(A171="","",SUMIFS(Payments!$C$5:$C$504,Payments!$B$5:$B$504,A171))</f>
        <v/>
      </c>
      <c r="F171" s="9">
        <f>IF(A171="","",COUNTIFS(Payments!$B$5:$B$504,A171))</f>
        <v/>
      </c>
      <c r="G171" s="5">
        <f>IF(OR(A171="",F171=0),"",_xlfn.MAXIFS(Payments!$A$5:$A$504,Payments!$B$5:$B$504,A171))</f>
        <v/>
      </c>
      <c r="H171" s="14" t="n"/>
    </row>
    <row r="172">
      <c r="A172" s="14" t="n"/>
      <c r="B172" s="14" t="n"/>
      <c r="C172" s="14" t="n"/>
      <c r="D172" s="14" t="n"/>
      <c r="E172" s="3">
        <f>IF(A172="","",SUMIFS(Payments!$C$5:$C$504,Payments!$B$5:$B$504,A172))</f>
        <v/>
      </c>
      <c r="F172" s="9">
        <f>IF(A172="","",COUNTIFS(Payments!$B$5:$B$504,A172))</f>
        <v/>
      </c>
      <c r="G172" s="5">
        <f>IF(OR(A172="",F172=0),"",_xlfn.MAXIFS(Payments!$A$5:$A$504,Payments!$B$5:$B$504,A172))</f>
        <v/>
      </c>
      <c r="H172" s="14" t="n"/>
    </row>
    <row r="173">
      <c r="A173" s="14" t="n"/>
      <c r="B173" s="14" t="n"/>
      <c r="C173" s="14" t="n"/>
      <c r="D173" s="14" t="n"/>
      <c r="E173" s="3">
        <f>IF(A173="","",SUMIFS(Payments!$C$5:$C$504,Payments!$B$5:$B$504,A173))</f>
        <v/>
      </c>
      <c r="F173" s="9">
        <f>IF(A173="","",COUNTIFS(Payments!$B$5:$B$504,A173))</f>
        <v/>
      </c>
      <c r="G173" s="5">
        <f>IF(OR(A173="",F173=0),"",_xlfn.MAXIFS(Payments!$A$5:$A$504,Payments!$B$5:$B$504,A173))</f>
        <v/>
      </c>
      <c r="H173" s="14" t="n"/>
    </row>
    <row r="174">
      <c r="A174" s="14" t="n"/>
      <c r="B174" s="14" t="n"/>
      <c r="C174" s="14" t="n"/>
      <c r="D174" s="14" t="n"/>
      <c r="E174" s="3">
        <f>IF(A174="","",SUMIFS(Payments!$C$5:$C$504,Payments!$B$5:$B$504,A174))</f>
        <v/>
      </c>
      <c r="F174" s="9">
        <f>IF(A174="","",COUNTIFS(Payments!$B$5:$B$504,A174))</f>
        <v/>
      </c>
      <c r="G174" s="5">
        <f>IF(OR(A174="",F174=0),"",_xlfn.MAXIFS(Payments!$A$5:$A$504,Payments!$B$5:$B$504,A174))</f>
        <v/>
      </c>
      <c r="H174" s="14" t="n"/>
    </row>
    <row r="175">
      <c r="A175" s="14" t="n"/>
      <c r="B175" s="14" t="n"/>
      <c r="C175" s="14" t="n"/>
      <c r="D175" s="14" t="n"/>
      <c r="E175" s="3">
        <f>IF(A175="","",SUMIFS(Payments!$C$5:$C$504,Payments!$B$5:$B$504,A175))</f>
        <v/>
      </c>
      <c r="F175" s="9">
        <f>IF(A175="","",COUNTIFS(Payments!$B$5:$B$504,A175))</f>
        <v/>
      </c>
      <c r="G175" s="5">
        <f>IF(OR(A175="",F175=0),"",_xlfn.MAXIFS(Payments!$A$5:$A$504,Payments!$B$5:$B$504,A175))</f>
        <v/>
      </c>
      <c r="H175" s="14" t="n"/>
    </row>
    <row r="176">
      <c r="A176" s="14" t="n"/>
      <c r="B176" s="14" t="n"/>
      <c r="C176" s="14" t="n"/>
      <c r="D176" s="14" t="n"/>
      <c r="E176" s="3">
        <f>IF(A176="","",SUMIFS(Payments!$C$5:$C$504,Payments!$B$5:$B$504,A176))</f>
        <v/>
      </c>
      <c r="F176" s="9">
        <f>IF(A176="","",COUNTIFS(Payments!$B$5:$B$504,A176))</f>
        <v/>
      </c>
      <c r="G176" s="5">
        <f>IF(OR(A176="",F176=0),"",_xlfn.MAXIFS(Payments!$A$5:$A$504,Payments!$B$5:$B$504,A176))</f>
        <v/>
      </c>
      <c r="H176" s="14" t="n"/>
    </row>
    <row r="177">
      <c r="A177" s="14" t="n"/>
      <c r="B177" s="14" t="n"/>
      <c r="C177" s="14" t="n"/>
      <c r="D177" s="14" t="n"/>
      <c r="E177" s="3">
        <f>IF(A177="","",SUMIFS(Payments!$C$5:$C$504,Payments!$B$5:$B$504,A177))</f>
        <v/>
      </c>
      <c r="F177" s="9">
        <f>IF(A177="","",COUNTIFS(Payments!$B$5:$B$504,A177))</f>
        <v/>
      </c>
      <c r="G177" s="5">
        <f>IF(OR(A177="",F177=0),"",_xlfn.MAXIFS(Payments!$A$5:$A$504,Payments!$B$5:$B$504,A177))</f>
        <v/>
      </c>
      <c r="H177" s="14" t="n"/>
    </row>
    <row r="178">
      <c r="A178" s="14" t="n"/>
      <c r="B178" s="14" t="n"/>
      <c r="C178" s="14" t="n"/>
      <c r="D178" s="14" t="n"/>
      <c r="E178" s="3">
        <f>IF(A178="","",SUMIFS(Payments!$C$5:$C$504,Payments!$B$5:$B$504,A178))</f>
        <v/>
      </c>
      <c r="F178" s="9">
        <f>IF(A178="","",COUNTIFS(Payments!$B$5:$B$504,A178))</f>
        <v/>
      </c>
      <c r="G178" s="5">
        <f>IF(OR(A178="",F178=0),"",_xlfn.MAXIFS(Payments!$A$5:$A$504,Payments!$B$5:$B$504,A178))</f>
        <v/>
      </c>
      <c r="H178" s="14" t="n"/>
    </row>
    <row r="179">
      <c r="A179" s="14" t="n"/>
      <c r="B179" s="14" t="n"/>
      <c r="C179" s="14" t="n"/>
      <c r="D179" s="14" t="n"/>
      <c r="E179" s="3">
        <f>IF(A179="","",SUMIFS(Payments!$C$5:$C$504,Payments!$B$5:$B$504,A179))</f>
        <v/>
      </c>
      <c r="F179" s="9">
        <f>IF(A179="","",COUNTIFS(Payments!$B$5:$B$504,A179))</f>
        <v/>
      </c>
      <c r="G179" s="5">
        <f>IF(OR(A179="",F179=0),"",_xlfn.MAXIFS(Payments!$A$5:$A$504,Payments!$B$5:$B$504,A179))</f>
        <v/>
      </c>
      <c r="H179" s="14" t="n"/>
    </row>
    <row r="180">
      <c r="A180" s="14" t="n"/>
      <c r="B180" s="14" t="n"/>
      <c r="C180" s="14" t="n"/>
      <c r="D180" s="14" t="n"/>
      <c r="E180" s="3">
        <f>IF(A180="","",SUMIFS(Payments!$C$5:$C$504,Payments!$B$5:$B$504,A180))</f>
        <v/>
      </c>
      <c r="F180" s="9">
        <f>IF(A180="","",COUNTIFS(Payments!$B$5:$B$504,A180))</f>
        <v/>
      </c>
      <c r="G180" s="5">
        <f>IF(OR(A180="",F180=0),"",_xlfn.MAXIFS(Payments!$A$5:$A$504,Payments!$B$5:$B$504,A180))</f>
        <v/>
      </c>
      <c r="H180" s="14" t="n"/>
    </row>
    <row r="181">
      <c r="A181" s="14" t="n"/>
      <c r="B181" s="14" t="n"/>
      <c r="C181" s="14" t="n"/>
      <c r="D181" s="14" t="n"/>
      <c r="E181" s="3">
        <f>IF(A181="","",SUMIFS(Payments!$C$5:$C$504,Payments!$B$5:$B$504,A181))</f>
        <v/>
      </c>
      <c r="F181" s="9">
        <f>IF(A181="","",COUNTIFS(Payments!$B$5:$B$504,A181))</f>
        <v/>
      </c>
      <c r="G181" s="5">
        <f>IF(OR(A181="",F181=0),"",_xlfn.MAXIFS(Payments!$A$5:$A$504,Payments!$B$5:$B$504,A181))</f>
        <v/>
      </c>
      <c r="H181" s="14" t="n"/>
    </row>
    <row r="182">
      <c r="A182" s="14" t="n"/>
      <c r="B182" s="14" t="n"/>
      <c r="C182" s="14" t="n"/>
      <c r="D182" s="14" t="n"/>
      <c r="E182" s="3">
        <f>IF(A182="","",SUMIFS(Payments!$C$5:$C$504,Payments!$B$5:$B$504,A182))</f>
        <v/>
      </c>
      <c r="F182" s="9">
        <f>IF(A182="","",COUNTIFS(Payments!$B$5:$B$504,A182))</f>
        <v/>
      </c>
      <c r="G182" s="5">
        <f>IF(OR(A182="",F182=0),"",_xlfn.MAXIFS(Payments!$A$5:$A$504,Payments!$B$5:$B$504,A182))</f>
        <v/>
      </c>
      <c r="H182" s="14" t="n"/>
    </row>
    <row r="183">
      <c r="A183" s="14" t="n"/>
      <c r="B183" s="14" t="n"/>
      <c r="C183" s="14" t="n"/>
      <c r="D183" s="14" t="n"/>
      <c r="E183" s="3">
        <f>IF(A183="","",SUMIFS(Payments!$C$5:$C$504,Payments!$B$5:$B$504,A183))</f>
        <v/>
      </c>
      <c r="F183" s="9">
        <f>IF(A183="","",COUNTIFS(Payments!$B$5:$B$504,A183))</f>
        <v/>
      </c>
      <c r="G183" s="5">
        <f>IF(OR(A183="",F183=0),"",_xlfn.MAXIFS(Payments!$A$5:$A$504,Payments!$B$5:$B$504,A183))</f>
        <v/>
      </c>
      <c r="H183" s="14" t="n"/>
    </row>
    <row r="184">
      <c r="A184" s="14" t="n"/>
      <c r="B184" s="14" t="n"/>
      <c r="C184" s="14" t="n"/>
      <c r="D184" s="14" t="n"/>
      <c r="E184" s="3">
        <f>IF(A184="","",SUMIFS(Payments!$C$5:$C$504,Payments!$B$5:$B$504,A184))</f>
        <v/>
      </c>
      <c r="F184" s="9">
        <f>IF(A184="","",COUNTIFS(Payments!$B$5:$B$504,A184))</f>
        <v/>
      </c>
      <c r="G184" s="5">
        <f>IF(OR(A184="",F184=0),"",_xlfn.MAXIFS(Payments!$A$5:$A$504,Payments!$B$5:$B$504,A184))</f>
        <v/>
      </c>
      <c r="H184" s="14" t="n"/>
    </row>
    <row r="185">
      <c r="A185" s="14" t="n"/>
      <c r="B185" s="14" t="n"/>
      <c r="C185" s="14" t="n"/>
      <c r="D185" s="14" t="n"/>
      <c r="E185" s="3">
        <f>IF(A185="","",SUMIFS(Payments!$C$5:$C$504,Payments!$B$5:$B$504,A185))</f>
        <v/>
      </c>
      <c r="F185" s="9">
        <f>IF(A185="","",COUNTIFS(Payments!$B$5:$B$504,A185))</f>
        <v/>
      </c>
      <c r="G185" s="5">
        <f>IF(OR(A185="",F185=0),"",_xlfn.MAXIFS(Payments!$A$5:$A$504,Payments!$B$5:$B$504,A185))</f>
        <v/>
      </c>
      <c r="H185" s="14" t="n"/>
    </row>
    <row r="186">
      <c r="A186" s="14" t="n"/>
      <c r="B186" s="14" t="n"/>
      <c r="C186" s="14" t="n"/>
      <c r="D186" s="14" t="n"/>
      <c r="E186" s="3">
        <f>IF(A186="","",SUMIFS(Payments!$C$5:$C$504,Payments!$B$5:$B$504,A186))</f>
        <v/>
      </c>
      <c r="F186" s="9">
        <f>IF(A186="","",COUNTIFS(Payments!$B$5:$B$504,A186))</f>
        <v/>
      </c>
      <c r="G186" s="5">
        <f>IF(OR(A186="",F186=0),"",_xlfn.MAXIFS(Payments!$A$5:$A$504,Payments!$B$5:$B$504,A186))</f>
        <v/>
      </c>
      <c r="H186" s="14" t="n"/>
    </row>
    <row r="187">
      <c r="A187" s="14" t="n"/>
      <c r="B187" s="14" t="n"/>
      <c r="C187" s="14" t="n"/>
      <c r="D187" s="14" t="n"/>
      <c r="E187" s="3">
        <f>IF(A187="","",SUMIFS(Payments!$C$5:$C$504,Payments!$B$5:$B$504,A187))</f>
        <v/>
      </c>
      <c r="F187" s="9">
        <f>IF(A187="","",COUNTIFS(Payments!$B$5:$B$504,A187))</f>
        <v/>
      </c>
      <c r="G187" s="5">
        <f>IF(OR(A187="",F187=0),"",_xlfn.MAXIFS(Payments!$A$5:$A$504,Payments!$B$5:$B$504,A187))</f>
        <v/>
      </c>
      <c r="H187" s="14" t="n"/>
    </row>
    <row r="188">
      <c r="A188" s="14" t="n"/>
      <c r="B188" s="14" t="n"/>
      <c r="C188" s="14" t="n"/>
      <c r="D188" s="14" t="n"/>
      <c r="E188" s="3">
        <f>IF(A188="","",SUMIFS(Payments!$C$5:$C$504,Payments!$B$5:$B$504,A188))</f>
        <v/>
      </c>
      <c r="F188" s="9">
        <f>IF(A188="","",COUNTIFS(Payments!$B$5:$B$504,A188))</f>
        <v/>
      </c>
      <c r="G188" s="5">
        <f>IF(OR(A188="",F188=0),"",_xlfn.MAXIFS(Payments!$A$5:$A$504,Payments!$B$5:$B$504,A188))</f>
        <v/>
      </c>
      <c r="H188" s="14" t="n"/>
    </row>
    <row r="189">
      <c r="A189" s="14" t="n"/>
      <c r="B189" s="14" t="n"/>
      <c r="C189" s="14" t="n"/>
      <c r="D189" s="14" t="n"/>
      <c r="E189" s="3">
        <f>IF(A189="","",SUMIFS(Payments!$C$5:$C$504,Payments!$B$5:$B$504,A189))</f>
        <v/>
      </c>
      <c r="F189" s="9">
        <f>IF(A189="","",COUNTIFS(Payments!$B$5:$B$504,A189))</f>
        <v/>
      </c>
      <c r="G189" s="5">
        <f>IF(OR(A189="",F189=0),"",_xlfn.MAXIFS(Payments!$A$5:$A$504,Payments!$B$5:$B$504,A189))</f>
        <v/>
      </c>
      <c r="H189" s="14" t="n"/>
    </row>
    <row r="190">
      <c r="A190" s="14" t="n"/>
      <c r="B190" s="14" t="n"/>
      <c r="C190" s="14" t="n"/>
      <c r="D190" s="14" t="n"/>
      <c r="E190" s="3">
        <f>IF(A190="","",SUMIFS(Payments!$C$5:$C$504,Payments!$B$5:$B$504,A190))</f>
        <v/>
      </c>
      <c r="F190" s="9">
        <f>IF(A190="","",COUNTIFS(Payments!$B$5:$B$504,A190))</f>
        <v/>
      </c>
      <c r="G190" s="5">
        <f>IF(OR(A190="",F190=0),"",_xlfn.MAXIFS(Payments!$A$5:$A$504,Payments!$B$5:$B$504,A190))</f>
        <v/>
      </c>
      <c r="H190" s="14" t="n"/>
    </row>
    <row r="191">
      <c r="A191" s="14" t="n"/>
      <c r="B191" s="14" t="n"/>
      <c r="C191" s="14" t="n"/>
      <c r="D191" s="14" t="n"/>
      <c r="E191" s="3">
        <f>IF(A191="","",SUMIFS(Payments!$C$5:$C$504,Payments!$B$5:$B$504,A191))</f>
        <v/>
      </c>
      <c r="F191" s="9">
        <f>IF(A191="","",COUNTIFS(Payments!$B$5:$B$504,A191))</f>
        <v/>
      </c>
      <c r="G191" s="5">
        <f>IF(OR(A191="",F191=0),"",_xlfn.MAXIFS(Payments!$A$5:$A$504,Payments!$B$5:$B$504,A191))</f>
        <v/>
      </c>
      <c r="H191" s="14" t="n"/>
    </row>
    <row r="192">
      <c r="A192" s="14" t="n"/>
      <c r="B192" s="14" t="n"/>
      <c r="C192" s="14" t="n"/>
      <c r="D192" s="14" t="n"/>
      <c r="E192" s="3">
        <f>IF(A192="","",SUMIFS(Payments!$C$5:$C$504,Payments!$B$5:$B$504,A192))</f>
        <v/>
      </c>
      <c r="F192" s="9">
        <f>IF(A192="","",COUNTIFS(Payments!$B$5:$B$504,A192))</f>
        <v/>
      </c>
      <c r="G192" s="5">
        <f>IF(OR(A192="",F192=0),"",_xlfn.MAXIFS(Payments!$A$5:$A$504,Payments!$B$5:$B$504,A192))</f>
        <v/>
      </c>
      <c r="H192" s="14" t="n"/>
    </row>
    <row r="193">
      <c r="A193" s="14" t="n"/>
      <c r="B193" s="14" t="n"/>
      <c r="C193" s="14" t="n"/>
      <c r="D193" s="14" t="n"/>
      <c r="E193" s="3">
        <f>IF(A193="","",SUMIFS(Payments!$C$5:$C$504,Payments!$B$5:$B$504,A193))</f>
        <v/>
      </c>
      <c r="F193" s="9">
        <f>IF(A193="","",COUNTIFS(Payments!$B$5:$B$504,A193))</f>
        <v/>
      </c>
      <c r="G193" s="5">
        <f>IF(OR(A193="",F193=0),"",_xlfn.MAXIFS(Payments!$A$5:$A$504,Payments!$B$5:$B$504,A193))</f>
        <v/>
      </c>
      <c r="H193" s="14" t="n"/>
    </row>
    <row r="194">
      <c r="A194" s="14" t="n"/>
      <c r="B194" s="14" t="n"/>
      <c r="C194" s="14" t="n"/>
      <c r="D194" s="14" t="n"/>
      <c r="E194" s="3">
        <f>IF(A194="","",SUMIFS(Payments!$C$5:$C$504,Payments!$B$5:$B$504,A194))</f>
        <v/>
      </c>
      <c r="F194" s="9">
        <f>IF(A194="","",COUNTIFS(Payments!$B$5:$B$504,A194))</f>
        <v/>
      </c>
      <c r="G194" s="5">
        <f>IF(OR(A194="",F194=0),"",_xlfn.MAXIFS(Payments!$A$5:$A$504,Payments!$B$5:$B$504,A194))</f>
        <v/>
      </c>
      <c r="H194" s="14" t="n"/>
    </row>
    <row r="195">
      <c r="A195" s="14" t="n"/>
      <c r="B195" s="14" t="n"/>
      <c r="C195" s="14" t="n"/>
      <c r="D195" s="14" t="n"/>
      <c r="E195" s="3">
        <f>IF(A195="","",SUMIFS(Payments!$C$5:$C$504,Payments!$B$5:$B$504,A195))</f>
        <v/>
      </c>
      <c r="F195" s="9">
        <f>IF(A195="","",COUNTIFS(Payments!$B$5:$B$504,A195))</f>
        <v/>
      </c>
      <c r="G195" s="5">
        <f>IF(OR(A195="",F195=0),"",_xlfn.MAXIFS(Payments!$A$5:$A$504,Payments!$B$5:$B$504,A195))</f>
        <v/>
      </c>
      <c r="H195" s="14" t="n"/>
    </row>
    <row r="196">
      <c r="A196" s="14" t="n"/>
      <c r="B196" s="14" t="n"/>
      <c r="C196" s="14" t="n"/>
      <c r="D196" s="14" t="n"/>
      <c r="E196" s="3">
        <f>IF(A196="","",SUMIFS(Payments!$C$5:$C$504,Payments!$B$5:$B$504,A196))</f>
        <v/>
      </c>
      <c r="F196" s="9">
        <f>IF(A196="","",COUNTIFS(Payments!$B$5:$B$504,A196))</f>
        <v/>
      </c>
      <c r="G196" s="5">
        <f>IF(OR(A196="",F196=0),"",_xlfn.MAXIFS(Payments!$A$5:$A$504,Payments!$B$5:$B$504,A196))</f>
        <v/>
      </c>
      <c r="H196" s="14" t="n"/>
    </row>
    <row r="197">
      <c r="A197" s="14" t="n"/>
      <c r="B197" s="14" t="n"/>
      <c r="C197" s="14" t="n"/>
      <c r="D197" s="14" t="n"/>
      <c r="E197" s="3">
        <f>IF(A197="","",SUMIFS(Payments!$C$5:$C$504,Payments!$B$5:$B$504,A197))</f>
        <v/>
      </c>
      <c r="F197" s="9">
        <f>IF(A197="","",COUNTIFS(Payments!$B$5:$B$504,A197))</f>
        <v/>
      </c>
      <c r="G197" s="5">
        <f>IF(OR(A197="",F197=0),"",_xlfn.MAXIFS(Payments!$A$5:$A$504,Payments!$B$5:$B$504,A197))</f>
        <v/>
      </c>
      <c r="H197" s="14" t="n"/>
    </row>
    <row r="198">
      <c r="A198" s="14" t="n"/>
      <c r="B198" s="14" t="n"/>
      <c r="C198" s="14" t="n"/>
      <c r="D198" s="14" t="n"/>
      <c r="E198" s="3">
        <f>IF(A198="","",SUMIFS(Payments!$C$5:$C$504,Payments!$B$5:$B$504,A198))</f>
        <v/>
      </c>
      <c r="F198" s="9">
        <f>IF(A198="","",COUNTIFS(Payments!$B$5:$B$504,A198))</f>
        <v/>
      </c>
      <c r="G198" s="5">
        <f>IF(OR(A198="",F198=0),"",_xlfn.MAXIFS(Payments!$A$5:$A$504,Payments!$B$5:$B$504,A198))</f>
        <v/>
      </c>
      <c r="H198" s="14" t="n"/>
    </row>
    <row r="199">
      <c r="A199" s="14" t="n"/>
      <c r="B199" s="14" t="n"/>
      <c r="C199" s="14" t="n"/>
      <c r="D199" s="14" t="n"/>
      <c r="E199" s="3">
        <f>IF(A199="","",SUMIFS(Payments!$C$5:$C$504,Payments!$B$5:$B$504,A199))</f>
        <v/>
      </c>
      <c r="F199" s="9">
        <f>IF(A199="","",COUNTIFS(Payments!$B$5:$B$504,A199))</f>
        <v/>
      </c>
      <c r="G199" s="5">
        <f>IF(OR(A199="",F199=0),"",_xlfn.MAXIFS(Payments!$A$5:$A$504,Payments!$B$5:$B$504,A199))</f>
        <v/>
      </c>
      <c r="H199" s="14" t="n"/>
    </row>
    <row r="200">
      <c r="A200" s="14" t="n"/>
      <c r="B200" s="14" t="n"/>
      <c r="C200" s="14" t="n"/>
      <c r="D200" s="14" t="n"/>
      <c r="E200" s="3">
        <f>IF(A200="","",SUMIFS(Payments!$C$5:$C$504,Payments!$B$5:$B$504,A200))</f>
        <v/>
      </c>
      <c r="F200" s="9">
        <f>IF(A200="","",COUNTIFS(Payments!$B$5:$B$504,A200))</f>
        <v/>
      </c>
      <c r="G200" s="5">
        <f>IF(OR(A200="",F200=0),"",_xlfn.MAXIFS(Payments!$A$5:$A$504,Payments!$B$5:$B$504,A200))</f>
        <v/>
      </c>
      <c r="H200" s="14" t="n"/>
    </row>
    <row r="201">
      <c r="A201" s="14" t="n"/>
      <c r="B201" s="14" t="n"/>
      <c r="C201" s="14" t="n"/>
      <c r="D201" s="14" t="n"/>
      <c r="E201" s="3">
        <f>IF(A201="","",SUMIFS(Payments!$C$5:$C$504,Payments!$B$5:$B$504,A201))</f>
        <v/>
      </c>
      <c r="F201" s="9">
        <f>IF(A201="","",COUNTIFS(Payments!$B$5:$B$504,A201))</f>
        <v/>
      </c>
      <c r="G201" s="5">
        <f>IF(OR(A201="",F201=0),"",_xlfn.MAXIFS(Payments!$A$5:$A$504,Payments!$B$5:$B$504,A201))</f>
        <v/>
      </c>
      <c r="H201" s="14" t="n"/>
    </row>
    <row r="202">
      <c r="A202" s="14" t="n"/>
      <c r="B202" s="14" t="n"/>
      <c r="C202" s="14" t="n"/>
      <c r="D202" s="14" t="n"/>
      <c r="E202" s="3">
        <f>IF(A202="","",SUMIFS(Payments!$C$5:$C$504,Payments!$B$5:$B$504,A202))</f>
        <v/>
      </c>
      <c r="F202" s="9">
        <f>IF(A202="","",COUNTIFS(Payments!$B$5:$B$504,A202))</f>
        <v/>
      </c>
      <c r="G202" s="5">
        <f>IF(OR(A202="",F202=0),"",_xlfn.MAXIFS(Payments!$A$5:$A$504,Payments!$B$5:$B$504,A202))</f>
        <v/>
      </c>
      <c r="H202" s="14" t="n"/>
    </row>
    <row r="203">
      <c r="A203" s="14" t="n"/>
      <c r="B203" s="14" t="n"/>
      <c r="C203" s="14" t="n"/>
      <c r="D203" s="14" t="n"/>
      <c r="E203" s="3">
        <f>IF(A203="","",SUMIFS(Payments!$C$5:$C$504,Payments!$B$5:$B$504,A203))</f>
        <v/>
      </c>
      <c r="F203" s="9">
        <f>IF(A203="","",COUNTIFS(Payments!$B$5:$B$504,A203))</f>
        <v/>
      </c>
      <c r="G203" s="5">
        <f>IF(OR(A203="",F203=0),"",_xlfn.MAXIFS(Payments!$A$5:$A$504,Payments!$B$5:$B$504,A203))</f>
        <v/>
      </c>
      <c r="H203" s="14" t="n"/>
    </row>
    <row r="204">
      <c r="A204" s="14" t="n"/>
      <c r="B204" s="14" t="n"/>
      <c r="C204" s="14" t="n"/>
      <c r="D204" s="14" t="n"/>
      <c r="E204" s="3">
        <f>IF(A204="","",SUMIFS(Payments!$C$5:$C$504,Payments!$B$5:$B$504,A204))</f>
        <v/>
      </c>
      <c r="F204" s="9">
        <f>IF(A204="","",COUNTIFS(Payments!$B$5:$B$504,A204))</f>
        <v/>
      </c>
      <c r="G204" s="5">
        <f>IF(OR(A204="",F204=0),"",_xlfn.MAXIFS(Payments!$A$5:$A$504,Payments!$B$5:$B$504,A204))</f>
        <v/>
      </c>
      <c r="H204" s="14" t="n"/>
    </row>
    <row r="205">
      <c r="A205" s="14" t="n"/>
      <c r="B205" s="14" t="n"/>
      <c r="C205" s="14" t="n"/>
      <c r="D205" s="14" t="n"/>
      <c r="E205" s="3">
        <f>IF(A205="","",SUMIFS(Payments!$C$5:$C$504,Payments!$B$5:$B$504,A205))</f>
        <v/>
      </c>
      <c r="F205" s="9">
        <f>IF(A205="","",COUNTIFS(Payments!$B$5:$B$504,A205))</f>
        <v/>
      </c>
      <c r="G205" s="5">
        <f>IF(OR(A205="",F205=0),"",_xlfn.MAXIFS(Payments!$A$5:$A$504,Payments!$B$5:$B$504,A205))</f>
        <v/>
      </c>
      <c r="H205" s="14" t="n"/>
    </row>
    <row r="206">
      <c r="A206" s="14" t="n"/>
      <c r="B206" s="14" t="n"/>
      <c r="C206" s="14" t="n"/>
      <c r="D206" s="14" t="n"/>
      <c r="E206" s="3">
        <f>IF(A206="","",SUMIFS(Payments!$C$5:$C$504,Payments!$B$5:$B$504,A206))</f>
        <v/>
      </c>
      <c r="F206" s="9">
        <f>IF(A206="","",COUNTIFS(Payments!$B$5:$B$504,A206))</f>
        <v/>
      </c>
      <c r="G206" s="5">
        <f>IF(OR(A206="",F206=0),"",_xlfn.MAXIFS(Payments!$A$5:$A$504,Payments!$B$5:$B$504,A206))</f>
        <v/>
      </c>
      <c r="H206" s="14" t="n"/>
    </row>
    <row r="207">
      <c r="A207" s="14" t="n"/>
      <c r="B207" s="14" t="n"/>
      <c r="C207" s="14" t="n"/>
      <c r="D207" s="14" t="n"/>
      <c r="E207" s="3">
        <f>IF(A207="","",SUMIFS(Payments!$C$5:$C$504,Payments!$B$5:$B$504,A207))</f>
        <v/>
      </c>
      <c r="F207" s="9">
        <f>IF(A207="","",COUNTIFS(Payments!$B$5:$B$504,A207))</f>
        <v/>
      </c>
      <c r="G207" s="5">
        <f>IF(OR(A207="",F207=0),"",_xlfn.MAXIFS(Payments!$A$5:$A$504,Payments!$B$5:$B$504,A207))</f>
        <v/>
      </c>
      <c r="H207" s="14" t="n"/>
    </row>
    <row r="208">
      <c r="A208" s="14" t="n"/>
      <c r="B208" s="14" t="n"/>
      <c r="C208" s="14" t="n"/>
      <c r="D208" s="14" t="n"/>
      <c r="E208" s="3">
        <f>IF(A208="","",SUMIFS(Payments!$C$5:$C$504,Payments!$B$5:$B$504,A208))</f>
        <v/>
      </c>
      <c r="F208" s="9">
        <f>IF(A208="","",COUNTIFS(Payments!$B$5:$B$504,A208))</f>
        <v/>
      </c>
      <c r="G208" s="5">
        <f>IF(OR(A208="",F208=0),"",_xlfn.MAXIFS(Payments!$A$5:$A$504,Payments!$B$5:$B$504,A208))</f>
        <v/>
      </c>
      <c r="H208" s="14" t="n"/>
    </row>
    <row r="209">
      <c r="A209" s="14" t="n"/>
      <c r="B209" s="14" t="n"/>
      <c r="C209" s="14" t="n"/>
      <c r="D209" s="14" t="n"/>
      <c r="E209" s="3">
        <f>IF(A209="","",SUMIFS(Payments!$C$5:$C$504,Payments!$B$5:$B$504,A209))</f>
        <v/>
      </c>
      <c r="F209" s="9">
        <f>IF(A209="","",COUNTIFS(Payments!$B$5:$B$504,A209))</f>
        <v/>
      </c>
      <c r="G209" s="5">
        <f>IF(OR(A209="",F209=0),"",_xlfn.MAXIFS(Payments!$A$5:$A$504,Payments!$B$5:$B$504,A209))</f>
        <v/>
      </c>
      <c r="H209" s="14" t="n"/>
    </row>
    <row r="210">
      <c r="A210" s="14" t="n"/>
      <c r="B210" s="14" t="n"/>
      <c r="C210" s="14" t="n"/>
      <c r="D210" s="14" t="n"/>
      <c r="E210" s="3">
        <f>IF(A210="","",SUMIFS(Payments!$C$5:$C$504,Payments!$B$5:$B$504,A210))</f>
        <v/>
      </c>
      <c r="F210" s="9">
        <f>IF(A210="","",COUNTIFS(Payments!$B$5:$B$504,A210))</f>
        <v/>
      </c>
      <c r="G210" s="5">
        <f>IF(OR(A210="",F210=0),"",_xlfn.MAXIFS(Payments!$A$5:$A$504,Payments!$B$5:$B$504,A210))</f>
        <v/>
      </c>
      <c r="H210" s="14" t="n"/>
    </row>
    <row r="211">
      <c r="A211" s="14" t="n"/>
      <c r="B211" s="14" t="n"/>
      <c r="C211" s="14" t="n"/>
      <c r="D211" s="14" t="n"/>
      <c r="E211" s="3">
        <f>IF(A211="","",SUMIFS(Payments!$C$5:$C$504,Payments!$B$5:$B$504,A211))</f>
        <v/>
      </c>
      <c r="F211" s="9">
        <f>IF(A211="","",COUNTIFS(Payments!$B$5:$B$504,A211))</f>
        <v/>
      </c>
      <c r="G211" s="5">
        <f>IF(OR(A211="",F211=0),"",_xlfn.MAXIFS(Payments!$A$5:$A$504,Payments!$B$5:$B$504,A211))</f>
        <v/>
      </c>
      <c r="H211" s="14" t="n"/>
    </row>
    <row r="212">
      <c r="A212" s="14" t="n"/>
      <c r="B212" s="14" t="n"/>
      <c r="C212" s="14" t="n"/>
      <c r="D212" s="14" t="n"/>
      <c r="E212" s="3">
        <f>IF(A212="","",SUMIFS(Payments!$C$5:$C$504,Payments!$B$5:$B$504,A212))</f>
        <v/>
      </c>
      <c r="F212" s="9">
        <f>IF(A212="","",COUNTIFS(Payments!$B$5:$B$504,A212))</f>
        <v/>
      </c>
      <c r="G212" s="5">
        <f>IF(OR(A212="",F212=0),"",_xlfn.MAXIFS(Payments!$A$5:$A$504,Payments!$B$5:$B$504,A212))</f>
        <v/>
      </c>
      <c r="H212" s="14" t="n"/>
    </row>
    <row r="213">
      <c r="A213" s="14" t="n"/>
      <c r="B213" s="14" t="n"/>
      <c r="C213" s="14" t="n"/>
      <c r="D213" s="14" t="n"/>
      <c r="E213" s="3">
        <f>IF(A213="","",SUMIFS(Payments!$C$5:$C$504,Payments!$B$5:$B$504,A213))</f>
        <v/>
      </c>
      <c r="F213" s="9">
        <f>IF(A213="","",COUNTIFS(Payments!$B$5:$B$504,A213))</f>
        <v/>
      </c>
      <c r="G213" s="5">
        <f>IF(OR(A213="",F213=0),"",_xlfn.MAXIFS(Payments!$A$5:$A$504,Payments!$B$5:$B$504,A213))</f>
        <v/>
      </c>
      <c r="H213" s="14" t="n"/>
    </row>
    <row r="214">
      <c r="A214" s="14" t="n"/>
      <c r="B214" s="14" t="n"/>
      <c r="C214" s="14" t="n"/>
      <c r="D214" s="14" t="n"/>
      <c r="E214" s="3">
        <f>IF(A214="","",SUMIFS(Payments!$C$5:$C$504,Payments!$B$5:$B$504,A214))</f>
        <v/>
      </c>
      <c r="F214" s="9">
        <f>IF(A214="","",COUNTIFS(Payments!$B$5:$B$504,A214))</f>
        <v/>
      </c>
      <c r="G214" s="5">
        <f>IF(OR(A214="",F214=0),"",_xlfn.MAXIFS(Payments!$A$5:$A$504,Payments!$B$5:$B$504,A214))</f>
        <v/>
      </c>
      <c r="H214" s="14" t="n"/>
    </row>
    <row r="215">
      <c r="A215" s="14" t="n"/>
      <c r="B215" s="14" t="n"/>
      <c r="C215" s="14" t="n"/>
      <c r="D215" s="14" t="n"/>
      <c r="E215" s="3">
        <f>IF(A215="","",SUMIFS(Payments!$C$5:$C$504,Payments!$B$5:$B$504,A215))</f>
        <v/>
      </c>
      <c r="F215" s="9">
        <f>IF(A215="","",COUNTIFS(Payments!$B$5:$B$504,A215))</f>
        <v/>
      </c>
      <c r="G215" s="5">
        <f>IF(OR(A215="",F215=0),"",_xlfn.MAXIFS(Payments!$A$5:$A$504,Payments!$B$5:$B$504,A215))</f>
        <v/>
      </c>
      <c r="H215" s="14" t="n"/>
    </row>
    <row r="216">
      <c r="A216" s="14" t="n"/>
      <c r="B216" s="14" t="n"/>
      <c r="C216" s="14" t="n"/>
      <c r="D216" s="14" t="n"/>
      <c r="E216" s="3">
        <f>IF(A216="","",SUMIFS(Payments!$C$5:$C$504,Payments!$B$5:$B$504,A216))</f>
        <v/>
      </c>
      <c r="F216" s="9">
        <f>IF(A216="","",COUNTIFS(Payments!$B$5:$B$504,A216))</f>
        <v/>
      </c>
      <c r="G216" s="5">
        <f>IF(OR(A216="",F216=0),"",_xlfn.MAXIFS(Payments!$A$5:$A$504,Payments!$B$5:$B$504,A216))</f>
        <v/>
      </c>
      <c r="H216" s="14" t="n"/>
    </row>
    <row r="217">
      <c r="A217" s="14" t="n"/>
      <c r="B217" s="14" t="n"/>
      <c r="C217" s="14" t="n"/>
      <c r="D217" s="14" t="n"/>
      <c r="E217" s="3">
        <f>IF(A217="","",SUMIFS(Payments!$C$5:$C$504,Payments!$B$5:$B$504,A217))</f>
        <v/>
      </c>
      <c r="F217" s="9">
        <f>IF(A217="","",COUNTIFS(Payments!$B$5:$B$504,A217))</f>
        <v/>
      </c>
      <c r="G217" s="5">
        <f>IF(OR(A217="",F217=0),"",_xlfn.MAXIFS(Payments!$A$5:$A$504,Payments!$B$5:$B$504,A217))</f>
        <v/>
      </c>
      <c r="H217" s="14" t="n"/>
    </row>
    <row r="218">
      <c r="A218" s="14" t="n"/>
      <c r="B218" s="14" t="n"/>
      <c r="C218" s="14" t="n"/>
      <c r="D218" s="14" t="n"/>
      <c r="E218" s="3">
        <f>IF(A218="","",SUMIFS(Payments!$C$5:$C$504,Payments!$B$5:$B$504,A218))</f>
        <v/>
      </c>
      <c r="F218" s="9">
        <f>IF(A218="","",COUNTIFS(Payments!$B$5:$B$504,A218))</f>
        <v/>
      </c>
      <c r="G218" s="5">
        <f>IF(OR(A218="",F218=0),"",_xlfn.MAXIFS(Payments!$A$5:$A$504,Payments!$B$5:$B$504,A218))</f>
        <v/>
      </c>
      <c r="H218" s="14" t="n"/>
    </row>
    <row r="219">
      <c r="A219" s="14" t="n"/>
      <c r="B219" s="14" t="n"/>
      <c r="C219" s="14" t="n"/>
      <c r="D219" s="14" t="n"/>
      <c r="E219" s="3">
        <f>IF(A219="","",SUMIFS(Payments!$C$5:$C$504,Payments!$B$5:$B$504,A219))</f>
        <v/>
      </c>
      <c r="F219" s="9">
        <f>IF(A219="","",COUNTIFS(Payments!$B$5:$B$504,A219))</f>
        <v/>
      </c>
      <c r="G219" s="5">
        <f>IF(OR(A219="",F219=0),"",_xlfn.MAXIFS(Payments!$A$5:$A$504,Payments!$B$5:$B$504,A219))</f>
        <v/>
      </c>
      <c r="H219" s="14" t="n"/>
    </row>
    <row r="220">
      <c r="A220" s="14" t="n"/>
      <c r="B220" s="14" t="n"/>
      <c r="C220" s="14" t="n"/>
      <c r="D220" s="14" t="n"/>
      <c r="E220" s="3">
        <f>IF(A220="","",SUMIFS(Payments!$C$5:$C$504,Payments!$B$5:$B$504,A220))</f>
        <v/>
      </c>
      <c r="F220" s="9">
        <f>IF(A220="","",COUNTIFS(Payments!$B$5:$B$504,A220))</f>
        <v/>
      </c>
      <c r="G220" s="5">
        <f>IF(OR(A220="",F220=0),"",_xlfn.MAXIFS(Payments!$A$5:$A$504,Payments!$B$5:$B$504,A220))</f>
        <v/>
      </c>
      <c r="H220" s="14" t="n"/>
    </row>
    <row r="221">
      <c r="A221" s="14" t="n"/>
      <c r="B221" s="14" t="n"/>
      <c r="C221" s="14" t="n"/>
      <c r="D221" s="14" t="n"/>
      <c r="E221" s="3">
        <f>IF(A221="","",SUMIFS(Payments!$C$5:$C$504,Payments!$B$5:$B$504,A221))</f>
        <v/>
      </c>
      <c r="F221" s="9">
        <f>IF(A221="","",COUNTIFS(Payments!$B$5:$B$504,A221))</f>
        <v/>
      </c>
      <c r="G221" s="5">
        <f>IF(OR(A221="",F221=0),"",_xlfn.MAXIFS(Payments!$A$5:$A$504,Payments!$B$5:$B$504,A221))</f>
        <v/>
      </c>
      <c r="H221" s="14" t="n"/>
    </row>
    <row r="222">
      <c r="A222" s="14" t="n"/>
      <c r="B222" s="14" t="n"/>
      <c r="C222" s="14" t="n"/>
      <c r="D222" s="14" t="n"/>
      <c r="E222" s="3">
        <f>IF(A222="","",SUMIFS(Payments!$C$5:$C$504,Payments!$B$5:$B$504,A222))</f>
        <v/>
      </c>
      <c r="F222" s="9">
        <f>IF(A222="","",COUNTIFS(Payments!$B$5:$B$504,A222))</f>
        <v/>
      </c>
      <c r="G222" s="5">
        <f>IF(OR(A222="",F222=0),"",_xlfn.MAXIFS(Payments!$A$5:$A$504,Payments!$B$5:$B$504,A222))</f>
        <v/>
      </c>
      <c r="H222" s="14" t="n"/>
    </row>
    <row r="223">
      <c r="A223" s="14" t="n"/>
      <c r="B223" s="14" t="n"/>
      <c r="C223" s="14" t="n"/>
      <c r="D223" s="14" t="n"/>
      <c r="E223" s="3">
        <f>IF(A223="","",SUMIFS(Payments!$C$5:$C$504,Payments!$B$5:$B$504,A223))</f>
        <v/>
      </c>
      <c r="F223" s="9">
        <f>IF(A223="","",COUNTIFS(Payments!$B$5:$B$504,A223))</f>
        <v/>
      </c>
      <c r="G223" s="5">
        <f>IF(OR(A223="",F223=0),"",_xlfn.MAXIFS(Payments!$A$5:$A$504,Payments!$B$5:$B$504,A223))</f>
        <v/>
      </c>
      <c r="H223" s="14" t="n"/>
    </row>
    <row r="224">
      <c r="A224" s="14" t="n"/>
      <c r="B224" s="14" t="n"/>
      <c r="C224" s="14" t="n"/>
      <c r="D224" s="14" t="n"/>
      <c r="E224" s="3">
        <f>IF(A224="","",SUMIFS(Payments!$C$5:$C$504,Payments!$B$5:$B$504,A224))</f>
        <v/>
      </c>
      <c r="F224" s="9">
        <f>IF(A224="","",COUNTIFS(Payments!$B$5:$B$504,A224))</f>
        <v/>
      </c>
      <c r="G224" s="5">
        <f>IF(OR(A224="",F224=0),"",_xlfn.MAXIFS(Payments!$A$5:$A$504,Payments!$B$5:$B$504,A224))</f>
        <v/>
      </c>
      <c r="H224" s="14" t="n"/>
    </row>
    <row r="225">
      <c r="A225" s="14" t="n"/>
      <c r="B225" s="14" t="n"/>
      <c r="C225" s="14" t="n"/>
      <c r="D225" s="14" t="n"/>
      <c r="E225" s="3">
        <f>IF(A225="","",SUMIFS(Payments!$C$5:$C$504,Payments!$B$5:$B$504,A225))</f>
        <v/>
      </c>
      <c r="F225" s="9">
        <f>IF(A225="","",COUNTIFS(Payments!$B$5:$B$504,A225))</f>
        <v/>
      </c>
      <c r="G225" s="5">
        <f>IF(OR(A225="",F225=0),"",_xlfn.MAXIFS(Payments!$A$5:$A$504,Payments!$B$5:$B$504,A225))</f>
        <v/>
      </c>
      <c r="H225" s="14" t="n"/>
    </row>
    <row r="226">
      <c r="A226" s="14" t="n"/>
      <c r="B226" s="14" t="n"/>
      <c r="C226" s="14" t="n"/>
      <c r="D226" s="14" t="n"/>
      <c r="E226" s="3">
        <f>IF(A226="","",SUMIFS(Payments!$C$5:$C$504,Payments!$B$5:$B$504,A226))</f>
        <v/>
      </c>
      <c r="F226" s="9">
        <f>IF(A226="","",COUNTIFS(Payments!$B$5:$B$504,A226))</f>
        <v/>
      </c>
      <c r="G226" s="5">
        <f>IF(OR(A226="",F226=0),"",_xlfn.MAXIFS(Payments!$A$5:$A$504,Payments!$B$5:$B$504,A226))</f>
        <v/>
      </c>
      <c r="H226" s="14" t="n"/>
    </row>
    <row r="227">
      <c r="A227" s="14" t="n"/>
      <c r="B227" s="14" t="n"/>
      <c r="C227" s="14" t="n"/>
      <c r="D227" s="14" t="n"/>
      <c r="E227" s="3">
        <f>IF(A227="","",SUMIFS(Payments!$C$5:$C$504,Payments!$B$5:$B$504,A227))</f>
        <v/>
      </c>
      <c r="F227" s="9">
        <f>IF(A227="","",COUNTIFS(Payments!$B$5:$B$504,A227))</f>
        <v/>
      </c>
      <c r="G227" s="5">
        <f>IF(OR(A227="",F227=0),"",_xlfn.MAXIFS(Payments!$A$5:$A$504,Payments!$B$5:$B$504,A227))</f>
        <v/>
      </c>
      <c r="H227" s="14" t="n"/>
    </row>
    <row r="228">
      <c r="A228" s="14" t="n"/>
      <c r="B228" s="14" t="n"/>
      <c r="C228" s="14" t="n"/>
      <c r="D228" s="14" t="n"/>
      <c r="E228" s="3">
        <f>IF(A228="","",SUMIFS(Payments!$C$5:$C$504,Payments!$B$5:$B$504,A228))</f>
        <v/>
      </c>
      <c r="F228" s="9">
        <f>IF(A228="","",COUNTIFS(Payments!$B$5:$B$504,A228))</f>
        <v/>
      </c>
      <c r="G228" s="5">
        <f>IF(OR(A228="",F228=0),"",_xlfn.MAXIFS(Payments!$A$5:$A$504,Payments!$B$5:$B$504,A228))</f>
        <v/>
      </c>
      <c r="H228" s="14" t="n"/>
    </row>
    <row r="229">
      <c r="A229" s="14" t="n"/>
      <c r="B229" s="14" t="n"/>
      <c r="C229" s="14" t="n"/>
      <c r="D229" s="14" t="n"/>
      <c r="E229" s="3">
        <f>IF(A229="","",SUMIFS(Payments!$C$5:$C$504,Payments!$B$5:$B$504,A229))</f>
        <v/>
      </c>
      <c r="F229" s="9">
        <f>IF(A229="","",COUNTIFS(Payments!$B$5:$B$504,A229))</f>
        <v/>
      </c>
      <c r="G229" s="5">
        <f>IF(OR(A229="",F229=0),"",_xlfn.MAXIFS(Payments!$A$5:$A$504,Payments!$B$5:$B$504,A229))</f>
        <v/>
      </c>
      <c r="H229" s="14" t="n"/>
    </row>
    <row r="230">
      <c r="A230" s="14" t="n"/>
      <c r="B230" s="14" t="n"/>
      <c r="C230" s="14" t="n"/>
      <c r="D230" s="14" t="n"/>
      <c r="E230" s="3">
        <f>IF(A230="","",SUMIFS(Payments!$C$5:$C$504,Payments!$B$5:$B$504,A230))</f>
        <v/>
      </c>
      <c r="F230" s="9">
        <f>IF(A230="","",COUNTIFS(Payments!$B$5:$B$504,A230))</f>
        <v/>
      </c>
      <c r="G230" s="5">
        <f>IF(OR(A230="",F230=0),"",_xlfn.MAXIFS(Payments!$A$5:$A$504,Payments!$B$5:$B$504,A230))</f>
        <v/>
      </c>
      <c r="H230" s="14" t="n"/>
    </row>
    <row r="231">
      <c r="A231" s="14" t="n"/>
      <c r="B231" s="14" t="n"/>
      <c r="C231" s="14" t="n"/>
      <c r="D231" s="14" t="n"/>
      <c r="E231" s="3">
        <f>IF(A231="","",SUMIFS(Payments!$C$5:$C$504,Payments!$B$5:$B$504,A231))</f>
        <v/>
      </c>
      <c r="F231" s="9">
        <f>IF(A231="","",COUNTIFS(Payments!$B$5:$B$504,A231))</f>
        <v/>
      </c>
      <c r="G231" s="5">
        <f>IF(OR(A231="",F231=0),"",_xlfn.MAXIFS(Payments!$A$5:$A$504,Payments!$B$5:$B$504,A231))</f>
        <v/>
      </c>
      <c r="H231" s="14" t="n"/>
    </row>
    <row r="232">
      <c r="A232" s="14" t="n"/>
      <c r="B232" s="14" t="n"/>
      <c r="C232" s="14" t="n"/>
      <c r="D232" s="14" t="n"/>
      <c r="E232" s="3">
        <f>IF(A232="","",SUMIFS(Payments!$C$5:$C$504,Payments!$B$5:$B$504,A232))</f>
        <v/>
      </c>
      <c r="F232" s="9">
        <f>IF(A232="","",COUNTIFS(Payments!$B$5:$B$504,A232))</f>
        <v/>
      </c>
      <c r="G232" s="5">
        <f>IF(OR(A232="",F232=0),"",_xlfn.MAXIFS(Payments!$A$5:$A$504,Payments!$B$5:$B$504,A232))</f>
        <v/>
      </c>
      <c r="H232" s="14" t="n"/>
    </row>
    <row r="233">
      <c r="A233" s="14" t="n"/>
      <c r="B233" s="14" t="n"/>
      <c r="C233" s="14" t="n"/>
      <c r="D233" s="14" t="n"/>
      <c r="E233" s="3">
        <f>IF(A233="","",SUMIFS(Payments!$C$5:$C$504,Payments!$B$5:$B$504,A233))</f>
        <v/>
      </c>
      <c r="F233" s="9">
        <f>IF(A233="","",COUNTIFS(Payments!$B$5:$B$504,A233))</f>
        <v/>
      </c>
      <c r="G233" s="5">
        <f>IF(OR(A233="",F233=0),"",_xlfn.MAXIFS(Payments!$A$5:$A$504,Payments!$B$5:$B$504,A233))</f>
        <v/>
      </c>
      <c r="H233" s="14" t="n"/>
    </row>
    <row r="234">
      <c r="A234" s="14" t="n"/>
      <c r="B234" s="14" t="n"/>
      <c r="C234" s="14" t="n"/>
      <c r="D234" s="14" t="n"/>
      <c r="E234" s="3">
        <f>IF(A234="","",SUMIFS(Payments!$C$5:$C$504,Payments!$B$5:$B$504,A234))</f>
        <v/>
      </c>
      <c r="F234" s="9">
        <f>IF(A234="","",COUNTIFS(Payments!$B$5:$B$504,A234))</f>
        <v/>
      </c>
      <c r="G234" s="5">
        <f>IF(OR(A234="",F234=0),"",_xlfn.MAXIFS(Payments!$A$5:$A$504,Payments!$B$5:$B$504,A234))</f>
        <v/>
      </c>
      <c r="H234" s="14" t="n"/>
    </row>
    <row r="235">
      <c r="A235" s="14" t="n"/>
      <c r="B235" s="14" t="n"/>
      <c r="C235" s="14" t="n"/>
      <c r="D235" s="14" t="n"/>
      <c r="E235" s="3">
        <f>IF(A235="","",SUMIFS(Payments!$C$5:$C$504,Payments!$B$5:$B$504,A235))</f>
        <v/>
      </c>
      <c r="F235" s="9">
        <f>IF(A235="","",COUNTIFS(Payments!$B$5:$B$504,A235))</f>
        <v/>
      </c>
      <c r="G235" s="5">
        <f>IF(OR(A235="",F235=0),"",_xlfn.MAXIFS(Payments!$A$5:$A$504,Payments!$B$5:$B$504,A235))</f>
        <v/>
      </c>
      <c r="H235" s="14" t="n"/>
    </row>
    <row r="236">
      <c r="A236" s="14" t="n"/>
      <c r="B236" s="14" t="n"/>
      <c r="C236" s="14" t="n"/>
      <c r="D236" s="14" t="n"/>
      <c r="E236" s="3">
        <f>IF(A236="","",SUMIFS(Payments!$C$5:$C$504,Payments!$B$5:$B$504,A236))</f>
        <v/>
      </c>
      <c r="F236" s="9">
        <f>IF(A236="","",COUNTIFS(Payments!$B$5:$B$504,A236))</f>
        <v/>
      </c>
      <c r="G236" s="5">
        <f>IF(OR(A236="",F236=0),"",_xlfn.MAXIFS(Payments!$A$5:$A$504,Payments!$B$5:$B$504,A236))</f>
        <v/>
      </c>
      <c r="H236" s="14" t="n"/>
    </row>
    <row r="237">
      <c r="A237" s="14" t="n"/>
      <c r="B237" s="14" t="n"/>
      <c r="C237" s="14" t="n"/>
      <c r="D237" s="14" t="n"/>
      <c r="E237" s="3">
        <f>IF(A237="","",SUMIFS(Payments!$C$5:$C$504,Payments!$B$5:$B$504,A237))</f>
        <v/>
      </c>
      <c r="F237" s="9">
        <f>IF(A237="","",COUNTIFS(Payments!$B$5:$B$504,A237))</f>
        <v/>
      </c>
      <c r="G237" s="5">
        <f>IF(OR(A237="",F237=0),"",_xlfn.MAXIFS(Payments!$A$5:$A$504,Payments!$B$5:$B$504,A237))</f>
        <v/>
      </c>
      <c r="H237" s="14" t="n"/>
    </row>
    <row r="238">
      <c r="A238" s="14" t="n"/>
      <c r="B238" s="14" t="n"/>
      <c r="C238" s="14" t="n"/>
      <c r="D238" s="14" t="n"/>
      <c r="E238" s="3">
        <f>IF(A238="","",SUMIFS(Payments!$C$5:$C$504,Payments!$B$5:$B$504,A238))</f>
        <v/>
      </c>
      <c r="F238" s="9">
        <f>IF(A238="","",COUNTIFS(Payments!$B$5:$B$504,A238))</f>
        <v/>
      </c>
      <c r="G238" s="5">
        <f>IF(OR(A238="",F238=0),"",_xlfn.MAXIFS(Payments!$A$5:$A$504,Payments!$B$5:$B$504,A238))</f>
        <v/>
      </c>
      <c r="H238" s="14" t="n"/>
    </row>
    <row r="239">
      <c r="A239" s="14" t="n"/>
      <c r="B239" s="14" t="n"/>
      <c r="C239" s="14" t="n"/>
      <c r="D239" s="14" t="n"/>
      <c r="E239" s="3">
        <f>IF(A239="","",SUMIFS(Payments!$C$5:$C$504,Payments!$B$5:$B$504,A239))</f>
        <v/>
      </c>
      <c r="F239" s="9">
        <f>IF(A239="","",COUNTIFS(Payments!$B$5:$B$504,A239))</f>
        <v/>
      </c>
      <c r="G239" s="5">
        <f>IF(OR(A239="",F239=0),"",_xlfn.MAXIFS(Payments!$A$5:$A$504,Payments!$B$5:$B$504,A239))</f>
        <v/>
      </c>
      <c r="H239" s="14" t="n"/>
    </row>
    <row r="240">
      <c r="A240" s="14" t="n"/>
      <c r="B240" s="14" t="n"/>
      <c r="C240" s="14" t="n"/>
      <c r="D240" s="14" t="n"/>
      <c r="E240" s="3">
        <f>IF(A240="","",SUMIFS(Payments!$C$5:$C$504,Payments!$B$5:$B$504,A240))</f>
        <v/>
      </c>
      <c r="F240" s="9">
        <f>IF(A240="","",COUNTIFS(Payments!$B$5:$B$504,A240))</f>
        <v/>
      </c>
      <c r="G240" s="5">
        <f>IF(OR(A240="",F240=0),"",_xlfn.MAXIFS(Payments!$A$5:$A$504,Payments!$B$5:$B$504,A240))</f>
        <v/>
      </c>
      <c r="H240" s="14" t="n"/>
    </row>
    <row r="241">
      <c r="A241" s="14" t="n"/>
      <c r="B241" s="14" t="n"/>
      <c r="C241" s="14" t="n"/>
      <c r="D241" s="14" t="n"/>
      <c r="E241" s="3">
        <f>IF(A241="","",SUMIFS(Payments!$C$5:$C$504,Payments!$B$5:$B$504,A241))</f>
        <v/>
      </c>
      <c r="F241" s="9">
        <f>IF(A241="","",COUNTIFS(Payments!$B$5:$B$504,A241))</f>
        <v/>
      </c>
      <c r="G241" s="5">
        <f>IF(OR(A241="",F241=0),"",_xlfn.MAXIFS(Payments!$A$5:$A$504,Payments!$B$5:$B$504,A241))</f>
        <v/>
      </c>
      <c r="H241" s="14" t="n"/>
    </row>
    <row r="242">
      <c r="A242" s="14" t="n"/>
      <c r="B242" s="14" t="n"/>
      <c r="C242" s="14" t="n"/>
      <c r="D242" s="14" t="n"/>
      <c r="E242" s="3">
        <f>IF(A242="","",SUMIFS(Payments!$C$5:$C$504,Payments!$B$5:$B$504,A242))</f>
        <v/>
      </c>
      <c r="F242" s="9">
        <f>IF(A242="","",COUNTIFS(Payments!$B$5:$B$504,A242))</f>
        <v/>
      </c>
      <c r="G242" s="5">
        <f>IF(OR(A242="",F242=0),"",_xlfn.MAXIFS(Payments!$A$5:$A$504,Payments!$B$5:$B$504,A242))</f>
        <v/>
      </c>
      <c r="H242" s="14" t="n"/>
    </row>
    <row r="243">
      <c r="A243" s="14" t="n"/>
      <c r="B243" s="14" t="n"/>
      <c r="C243" s="14" t="n"/>
      <c r="D243" s="14" t="n"/>
      <c r="E243" s="3">
        <f>IF(A243="","",SUMIFS(Payments!$C$5:$C$504,Payments!$B$5:$B$504,A243))</f>
        <v/>
      </c>
      <c r="F243" s="9">
        <f>IF(A243="","",COUNTIFS(Payments!$B$5:$B$504,A243))</f>
        <v/>
      </c>
      <c r="G243" s="5">
        <f>IF(OR(A243="",F243=0),"",_xlfn.MAXIFS(Payments!$A$5:$A$504,Payments!$B$5:$B$504,A243))</f>
        <v/>
      </c>
      <c r="H243" s="14" t="n"/>
    </row>
    <row r="244">
      <c r="A244" s="14" t="n"/>
      <c r="B244" s="14" t="n"/>
      <c r="C244" s="14" t="n"/>
      <c r="D244" s="14" t="n"/>
      <c r="E244" s="3">
        <f>IF(A244="","",SUMIFS(Payments!$C$5:$C$504,Payments!$B$5:$B$504,A244))</f>
        <v/>
      </c>
      <c r="F244" s="9">
        <f>IF(A244="","",COUNTIFS(Payments!$B$5:$B$504,A244))</f>
        <v/>
      </c>
      <c r="G244" s="5">
        <f>IF(OR(A244="",F244=0),"",_xlfn.MAXIFS(Payments!$A$5:$A$504,Payments!$B$5:$B$504,A244))</f>
        <v/>
      </c>
      <c r="H244" s="14" t="n"/>
    </row>
    <row r="245">
      <c r="A245" s="14" t="n"/>
      <c r="B245" s="14" t="n"/>
      <c r="C245" s="14" t="n"/>
      <c r="D245" s="14" t="n"/>
      <c r="E245" s="3">
        <f>IF(A245="","",SUMIFS(Payments!$C$5:$C$504,Payments!$B$5:$B$504,A245))</f>
        <v/>
      </c>
      <c r="F245" s="9">
        <f>IF(A245="","",COUNTIFS(Payments!$B$5:$B$504,A245))</f>
        <v/>
      </c>
      <c r="G245" s="5">
        <f>IF(OR(A245="",F245=0),"",_xlfn.MAXIFS(Payments!$A$5:$A$504,Payments!$B$5:$B$504,A245))</f>
        <v/>
      </c>
      <c r="H245" s="14" t="n"/>
    </row>
    <row r="246">
      <c r="A246" s="14" t="n"/>
      <c r="B246" s="14" t="n"/>
      <c r="C246" s="14" t="n"/>
      <c r="D246" s="14" t="n"/>
      <c r="E246" s="3">
        <f>IF(A246="","",SUMIFS(Payments!$C$5:$C$504,Payments!$B$5:$B$504,A246))</f>
        <v/>
      </c>
      <c r="F246" s="9">
        <f>IF(A246="","",COUNTIFS(Payments!$B$5:$B$504,A246))</f>
        <v/>
      </c>
      <c r="G246" s="5">
        <f>IF(OR(A246="",F246=0),"",_xlfn.MAXIFS(Payments!$A$5:$A$504,Payments!$B$5:$B$504,A246))</f>
        <v/>
      </c>
      <c r="H246" s="14" t="n"/>
    </row>
    <row r="247">
      <c r="A247" s="14" t="n"/>
      <c r="B247" s="14" t="n"/>
      <c r="C247" s="14" t="n"/>
      <c r="D247" s="14" t="n"/>
      <c r="E247" s="3">
        <f>IF(A247="","",SUMIFS(Payments!$C$5:$C$504,Payments!$B$5:$B$504,A247))</f>
        <v/>
      </c>
      <c r="F247" s="9">
        <f>IF(A247="","",COUNTIFS(Payments!$B$5:$B$504,A247))</f>
        <v/>
      </c>
      <c r="G247" s="5">
        <f>IF(OR(A247="",F247=0),"",_xlfn.MAXIFS(Payments!$A$5:$A$504,Payments!$B$5:$B$504,A247))</f>
        <v/>
      </c>
      <c r="H247" s="14" t="n"/>
    </row>
    <row r="248">
      <c r="A248" s="14" t="n"/>
      <c r="B248" s="14" t="n"/>
      <c r="C248" s="14" t="n"/>
      <c r="D248" s="14" t="n"/>
      <c r="E248" s="3">
        <f>IF(A248="","",SUMIFS(Payments!$C$5:$C$504,Payments!$B$5:$B$504,A248))</f>
        <v/>
      </c>
      <c r="F248" s="9">
        <f>IF(A248="","",COUNTIFS(Payments!$B$5:$B$504,A248))</f>
        <v/>
      </c>
      <c r="G248" s="5">
        <f>IF(OR(A248="",F248=0),"",_xlfn.MAXIFS(Payments!$A$5:$A$504,Payments!$B$5:$B$504,A248))</f>
        <v/>
      </c>
      <c r="H248" s="14" t="n"/>
    </row>
    <row r="249">
      <c r="A249" s="14" t="n"/>
      <c r="B249" s="14" t="n"/>
      <c r="C249" s="14" t="n"/>
      <c r="D249" s="14" t="n"/>
      <c r="E249" s="3">
        <f>IF(A249="","",SUMIFS(Payments!$C$5:$C$504,Payments!$B$5:$B$504,A249))</f>
        <v/>
      </c>
      <c r="F249" s="9">
        <f>IF(A249="","",COUNTIFS(Payments!$B$5:$B$504,A249))</f>
        <v/>
      </c>
      <c r="G249" s="5">
        <f>IF(OR(A249="",F249=0),"",_xlfn.MAXIFS(Payments!$A$5:$A$504,Payments!$B$5:$B$504,A249))</f>
        <v/>
      </c>
      <c r="H249" s="14" t="n"/>
    </row>
    <row r="250">
      <c r="A250" s="14" t="n"/>
      <c r="B250" s="14" t="n"/>
      <c r="C250" s="14" t="n"/>
      <c r="D250" s="14" t="n"/>
      <c r="E250" s="3">
        <f>IF(A250="","",SUMIFS(Payments!$C$5:$C$504,Payments!$B$5:$B$504,A250))</f>
        <v/>
      </c>
      <c r="F250" s="9">
        <f>IF(A250="","",COUNTIFS(Payments!$B$5:$B$504,A250))</f>
        <v/>
      </c>
      <c r="G250" s="5">
        <f>IF(OR(A250="",F250=0),"",_xlfn.MAXIFS(Payments!$A$5:$A$504,Payments!$B$5:$B$504,A250))</f>
        <v/>
      </c>
      <c r="H250" s="14" t="n"/>
    </row>
    <row r="251">
      <c r="A251" s="14" t="n"/>
      <c r="B251" s="14" t="n"/>
      <c r="C251" s="14" t="n"/>
      <c r="D251" s="14" t="n"/>
      <c r="E251" s="3">
        <f>IF(A251="","",SUMIFS(Payments!$C$5:$C$504,Payments!$B$5:$B$504,A251))</f>
        <v/>
      </c>
      <c r="F251" s="9">
        <f>IF(A251="","",COUNTIFS(Payments!$B$5:$B$504,A251))</f>
        <v/>
      </c>
      <c r="G251" s="5">
        <f>IF(OR(A251="",F251=0),"",_xlfn.MAXIFS(Payments!$A$5:$A$504,Payments!$B$5:$B$504,A251))</f>
        <v/>
      </c>
      <c r="H251" s="14" t="n"/>
    </row>
    <row r="252">
      <c r="A252" s="14" t="n"/>
      <c r="B252" s="14" t="n"/>
      <c r="C252" s="14" t="n"/>
      <c r="D252" s="14" t="n"/>
      <c r="E252" s="3">
        <f>IF(A252="","",SUMIFS(Payments!$C$5:$C$504,Payments!$B$5:$B$504,A252))</f>
        <v/>
      </c>
      <c r="F252" s="9">
        <f>IF(A252="","",COUNTIFS(Payments!$B$5:$B$504,A252))</f>
        <v/>
      </c>
      <c r="G252" s="5">
        <f>IF(OR(A252="",F252=0),"",_xlfn.MAXIFS(Payments!$A$5:$A$504,Payments!$B$5:$B$504,A252))</f>
        <v/>
      </c>
      <c r="H252" s="14" t="n"/>
    </row>
    <row r="253">
      <c r="A253" s="14" t="n"/>
      <c r="B253" s="14" t="n"/>
      <c r="C253" s="14" t="n"/>
      <c r="D253" s="14" t="n"/>
      <c r="E253" s="3">
        <f>IF(A253="","",SUMIFS(Payments!$C$5:$C$504,Payments!$B$5:$B$504,A253))</f>
        <v/>
      </c>
      <c r="F253" s="9">
        <f>IF(A253="","",COUNTIFS(Payments!$B$5:$B$504,A253))</f>
        <v/>
      </c>
      <c r="G253" s="5">
        <f>IF(OR(A253="",F253=0),"",_xlfn.MAXIFS(Payments!$A$5:$A$504,Payments!$B$5:$B$504,A253))</f>
        <v/>
      </c>
      <c r="H253" s="14" t="n"/>
    </row>
    <row r="254">
      <c r="A254" s="14" t="n"/>
      <c r="B254" s="14" t="n"/>
      <c r="C254" s="14" t="n"/>
      <c r="D254" s="14" t="n"/>
      <c r="E254" s="3">
        <f>IF(A254="","",SUMIFS(Payments!$C$5:$C$504,Payments!$B$5:$B$504,A254))</f>
        <v/>
      </c>
      <c r="F254" s="9">
        <f>IF(A254="","",COUNTIFS(Payments!$B$5:$B$504,A254))</f>
        <v/>
      </c>
      <c r="G254" s="5">
        <f>IF(OR(A254="",F254=0),"",_xlfn.MAXIFS(Payments!$A$5:$A$504,Payments!$B$5:$B$504,A254))</f>
        <v/>
      </c>
      <c r="H254" s="14" t="n"/>
    </row>
    <row r="255">
      <c r="A255" s="14" t="n"/>
      <c r="B255" s="14" t="n"/>
      <c r="C255" s="14" t="n"/>
      <c r="D255" s="14" t="n"/>
      <c r="E255" s="3">
        <f>IF(A255="","",SUMIFS(Payments!$C$5:$C$504,Payments!$B$5:$B$504,A255))</f>
        <v/>
      </c>
      <c r="F255" s="9">
        <f>IF(A255="","",COUNTIFS(Payments!$B$5:$B$504,A255))</f>
        <v/>
      </c>
      <c r="G255" s="5">
        <f>IF(OR(A255="",F255=0),"",_xlfn.MAXIFS(Payments!$A$5:$A$504,Payments!$B$5:$B$504,A255))</f>
        <v/>
      </c>
      <c r="H255" s="14" t="n"/>
    </row>
    <row r="256">
      <c r="A256" s="14" t="n"/>
      <c r="B256" s="14" t="n"/>
      <c r="C256" s="14" t="n"/>
      <c r="D256" s="14" t="n"/>
      <c r="E256" s="3">
        <f>IF(A256="","",SUMIFS(Payments!$C$5:$C$504,Payments!$B$5:$B$504,A256))</f>
        <v/>
      </c>
      <c r="F256" s="9">
        <f>IF(A256="","",COUNTIFS(Payments!$B$5:$B$504,A256))</f>
        <v/>
      </c>
      <c r="G256" s="5">
        <f>IF(OR(A256="",F256=0),"",_xlfn.MAXIFS(Payments!$A$5:$A$504,Payments!$B$5:$B$504,A256))</f>
        <v/>
      </c>
      <c r="H256" s="14" t="n"/>
    </row>
    <row r="257">
      <c r="A257" s="14" t="n"/>
      <c r="B257" s="14" t="n"/>
      <c r="C257" s="14" t="n"/>
      <c r="D257" s="14" t="n"/>
      <c r="E257" s="3">
        <f>IF(A257="","",SUMIFS(Payments!$C$5:$C$504,Payments!$B$5:$B$504,A257))</f>
        <v/>
      </c>
      <c r="F257" s="9">
        <f>IF(A257="","",COUNTIFS(Payments!$B$5:$B$504,A257))</f>
        <v/>
      </c>
      <c r="G257" s="5">
        <f>IF(OR(A257="",F257=0),"",_xlfn.MAXIFS(Payments!$A$5:$A$504,Payments!$B$5:$B$504,A257))</f>
        <v/>
      </c>
      <c r="H257" s="14" t="n"/>
    </row>
    <row r="258">
      <c r="A258" s="14" t="n"/>
      <c r="B258" s="14" t="n"/>
      <c r="C258" s="14" t="n"/>
      <c r="D258" s="14" t="n"/>
      <c r="E258" s="3">
        <f>IF(A258="","",SUMIFS(Payments!$C$5:$C$504,Payments!$B$5:$B$504,A258))</f>
        <v/>
      </c>
      <c r="F258" s="9">
        <f>IF(A258="","",COUNTIFS(Payments!$B$5:$B$504,A258))</f>
        <v/>
      </c>
      <c r="G258" s="5">
        <f>IF(OR(A258="",F258=0),"",_xlfn.MAXIFS(Payments!$A$5:$A$504,Payments!$B$5:$B$504,A258))</f>
        <v/>
      </c>
      <c r="H258" s="14" t="n"/>
    </row>
    <row r="259">
      <c r="A259" s="14" t="n"/>
      <c r="B259" s="14" t="n"/>
      <c r="C259" s="14" t="n"/>
      <c r="D259" s="14" t="n"/>
      <c r="E259" s="3">
        <f>IF(A259="","",SUMIFS(Payments!$C$5:$C$504,Payments!$B$5:$B$504,A259))</f>
        <v/>
      </c>
      <c r="F259" s="9">
        <f>IF(A259="","",COUNTIFS(Payments!$B$5:$B$504,A259))</f>
        <v/>
      </c>
      <c r="G259" s="5">
        <f>IF(OR(A259="",F259=0),"",_xlfn.MAXIFS(Payments!$A$5:$A$504,Payments!$B$5:$B$504,A259))</f>
        <v/>
      </c>
      <c r="H259" s="14" t="n"/>
    </row>
    <row r="260">
      <c r="A260" s="14" t="n"/>
      <c r="B260" s="14" t="n"/>
      <c r="C260" s="14" t="n"/>
      <c r="D260" s="14" t="n"/>
      <c r="E260" s="3">
        <f>IF(A260="","",SUMIFS(Payments!$C$5:$C$504,Payments!$B$5:$B$504,A260))</f>
        <v/>
      </c>
      <c r="F260" s="9">
        <f>IF(A260="","",COUNTIFS(Payments!$B$5:$B$504,A260))</f>
        <v/>
      </c>
      <c r="G260" s="5">
        <f>IF(OR(A260="",F260=0),"",_xlfn.MAXIFS(Payments!$A$5:$A$504,Payments!$B$5:$B$504,A260))</f>
        <v/>
      </c>
      <c r="H260" s="14" t="n"/>
    </row>
    <row r="261">
      <c r="A261" s="14" t="n"/>
      <c r="B261" s="14" t="n"/>
      <c r="C261" s="14" t="n"/>
      <c r="D261" s="14" t="n"/>
      <c r="E261" s="3">
        <f>IF(A261="","",SUMIFS(Payments!$C$5:$C$504,Payments!$B$5:$B$504,A261))</f>
        <v/>
      </c>
      <c r="F261" s="9">
        <f>IF(A261="","",COUNTIFS(Payments!$B$5:$B$504,A261))</f>
        <v/>
      </c>
      <c r="G261" s="5">
        <f>IF(OR(A261="",F261=0),"",_xlfn.MAXIFS(Payments!$A$5:$A$504,Payments!$B$5:$B$504,A261))</f>
        <v/>
      </c>
      <c r="H261" s="14" t="n"/>
    </row>
    <row r="262">
      <c r="A262" s="14" t="n"/>
      <c r="B262" s="14" t="n"/>
      <c r="C262" s="14" t="n"/>
      <c r="D262" s="14" t="n"/>
      <c r="E262" s="3">
        <f>IF(A262="","",SUMIFS(Payments!$C$5:$C$504,Payments!$B$5:$B$504,A262))</f>
        <v/>
      </c>
      <c r="F262" s="9">
        <f>IF(A262="","",COUNTIFS(Payments!$B$5:$B$504,A262))</f>
        <v/>
      </c>
      <c r="G262" s="5">
        <f>IF(OR(A262="",F262=0),"",_xlfn.MAXIFS(Payments!$A$5:$A$504,Payments!$B$5:$B$504,A262))</f>
        <v/>
      </c>
      <c r="H262" s="14" t="n"/>
    </row>
    <row r="263">
      <c r="A263" s="14" t="n"/>
      <c r="B263" s="14" t="n"/>
      <c r="C263" s="14" t="n"/>
      <c r="D263" s="14" t="n"/>
      <c r="E263" s="3">
        <f>IF(A263="","",SUMIFS(Payments!$C$5:$C$504,Payments!$B$5:$B$504,A263))</f>
        <v/>
      </c>
      <c r="F263" s="9">
        <f>IF(A263="","",COUNTIFS(Payments!$B$5:$B$504,A263))</f>
        <v/>
      </c>
      <c r="G263" s="5">
        <f>IF(OR(A263="",F263=0),"",_xlfn.MAXIFS(Payments!$A$5:$A$504,Payments!$B$5:$B$504,A263))</f>
        <v/>
      </c>
      <c r="H263" s="14" t="n"/>
    </row>
    <row r="264">
      <c r="A264" s="14" t="n"/>
      <c r="B264" s="14" t="n"/>
      <c r="C264" s="14" t="n"/>
      <c r="D264" s="14" t="n"/>
      <c r="E264" s="3">
        <f>IF(A264="","",SUMIFS(Payments!$C$5:$C$504,Payments!$B$5:$B$504,A264))</f>
        <v/>
      </c>
      <c r="F264" s="9">
        <f>IF(A264="","",COUNTIFS(Payments!$B$5:$B$504,A264))</f>
        <v/>
      </c>
      <c r="G264" s="5">
        <f>IF(OR(A264="",F264=0),"",_xlfn.MAXIFS(Payments!$A$5:$A$504,Payments!$B$5:$B$504,A264))</f>
        <v/>
      </c>
      <c r="H264" s="14" t="n"/>
    </row>
    <row r="265">
      <c r="A265" s="14" t="n"/>
      <c r="B265" s="14" t="n"/>
      <c r="C265" s="14" t="n"/>
      <c r="D265" s="14" t="n"/>
      <c r="E265" s="3">
        <f>IF(A265="","",SUMIFS(Payments!$C$5:$C$504,Payments!$B$5:$B$504,A265))</f>
        <v/>
      </c>
      <c r="F265" s="9">
        <f>IF(A265="","",COUNTIFS(Payments!$B$5:$B$504,A265))</f>
        <v/>
      </c>
      <c r="G265" s="5">
        <f>IF(OR(A265="",F265=0),"",_xlfn.MAXIFS(Payments!$A$5:$A$504,Payments!$B$5:$B$504,A265))</f>
        <v/>
      </c>
      <c r="H265" s="14" t="n"/>
    </row>
    <row r="266">
      <c r="A266" s="14" t="n"/>
      <c r="B266" s="14" t="n"/>
      <c r="C266" s="14" t="n"/>
      <c r="D266" s="14" t="n"/>
      <c r="E266" s="3">
        <f>IF(A266="","",SUMIFS(Payments!$C$5:$C$504,Payments!$B$5:$B$504,A266))</f>
        <v/>
      </c>
      <c r="F266" s="9">
        <f>IF(A266="","",COUNTIFS(Payments!$B$5:$B$504,A266))</f>
        <v/>
      </c>
      <c r="G266" s="5">
        <f>IF(OR(A266="",F266=0),"",_xlfn.MAXIFS(Payments!$A$5:$A$504,Payments!$B$5:$B$504,A266))</f>
        <v/>
      </c>
      <c r="H266" s="14" t="n"/>
    </row>
    <row r="267">
      <c r="A267" s="14" t="n"/>
      <c r="B267" s="14" t="n"/>
      <c r="C267" s="14" t="n"/>
      <c r="D267" s="14" t="n"/>
      <c r="E267" s="3">
        <f>IF(A267="","",SUMIFS(Payments!$C$5:$C$504,Payments!$B$5:$B$504,A267))</f>
        <v/>
      </c>
      <c r="F267" s="9">
        <f>IF(A267="","",COUNTIFS(Payments!$B$5:$B$504,A267))</f>
        <v/>
      </c>
      <c r="G267" s="5">
        <f>IF(OR(A267="",F267=0),"",_xlfn.MAXIFS(Payments!$A$5:$A$504,Payments!$B$5:$B$504,A267))</f>
        <v/>
      </c>
      <c r="H267" s="14" t="n"/>
    </row>
    <row r="268">
      <c r="A268" s="14" t="n"/>
      <c r="B268" s="14" t="n"/>
      <c r="C268" s="14" t="n"/>
      <c r="D268" s="14" t="n"/>
      <c r="E268" s="3">
        <f>IF(A268="","",SUMIFS(Payments!$C$5:$C$504,Payments!$B$5:$B$504,A268))</f>
        <v/>
      </c>
      <c r="F268" s="9">
        <f>IF(A268="","",COUNTIFS(Payments!$B$5:$B$504,A268))</f>
        <v/>
      </c>
      <c r="G268" s="5">
        <f>IF(OR(A268="",F268=0),"",_xlfn.MAXIFS(Payments!$A$5:$A$504,Payments!$B$5:$B$504,A268))</f>
        <v/>
      </c>
      <c r="H268" s="14" t="n"/>
    </row>
    <row r="269">
      <c r="A269" s="14" t="n"/>
      <c r="B269" s="14" t="n"/>
      <c r="C269" s="14" t="n"/>
      <c r="D269" s="14" t="n"/>
      <c r="E269" s="3">
        <f>IF(A269="","",SUMIFS(Payments!$C$5:$C$504,Payments!$B$5:$B$504,A269))</f>
        <v/>
      </c>
      <c r="F269" s="9">
        <f>IF(A269="","",COUNTIFS(Payments!$B$5:$B$504,A269))</f>
        <v/>
      </c>
      <c r="G269" s="5">
        <f>IF(OR(A269="",F269=0),"",_xlfn.MAXIFS(Payments!$A$5:$A$504,Payments!$B$5:$B$504,A269))</f>
        <v/>
      </c>
      <c r="H269" s="14" t="n"/>
    </row>
    <row r="270">
      <c r="A270" s="14" t="n"/>
      <c r="B270" s="14" t="n"/>
      <c r="C270" s="14" t="n"/>
      <c r="D270" s="14" t="n"/>
      <c r="E270" s="3">
        <f>IF(A270="","",SUMIFS(Payments!$C$5:$C$504,Payments!$B$5:$B$504,A270))</f>
        <v/>
      </c>
      <c r="F270" s="9">
        <f>IF(A270="","",COUNTIFS(Payments!$B$5:$B$504,A270))</f>
        <v/>
      </c>
      <c r="G270" s="5">
        <f>IF(OR(A270="",F270=0),"",_xlfn.MAXIFS(Payments!$A$5:$A$504,Payments!$B$5:$B$504,A270))</f>
        <v/>
      </c>
      <c r="H270" s="14" t="n"/>
    </row>
    <row r="271">
      <c r="A271" s="14" t="n"/>
      <c r="B271" s="14" t="n"/>
      <c r="C271" s="14" t="n"/>
      <c r="D271" s="14" t="n"/>
      <c r="E271" s="3">
        <f>IF(A271="","",SUMIFS(Payments!$C$5:$C$504,Payments!$B$5:$B$504,A271))</f>
        <v/>
      </c>
      <c r="F271" s="9">
        <f>IF(A271="","",COUNTIFS(Payments!$B$5:$B$504,A271))</f>
        <v/>
      </c>
      <c r="G271" s="5">
        <f>IF(OR(A271="",F271=0),"",_xlfn.MAXIFS(Payments!$A$5:$A$504,Payments!$B$5:$B$504,A271))</f>
        <v/>
      </c>
      <c r="H271" s="14" t="n"/>
    </row>
    <row r="272">
      <c r="A272" s="14" t="n"/>
      <c r="B272" s="14" t="n"/>
      <c r="C272" s="14" t="n"/>
      <c r="D272" s="14" t="n"/>
      <c r="E272" s="3">
        <f>IF(A272="","",SUMIFS(Payments!$C$5:$C$504,Payments!$B$5:$B$504,A272))</f>
        <v/>
      </c>
      <c r="F272" s="9">
        <f>IF(A272="","",COUNTIFS(Payments!$B$5:$B$504,A272))</f>
        <v/>
      </c>
      <c r="G272" s="5">
        <f>IF(OR(A272="",F272=0),"",_xlfn.MAXIFS(Payments!$A$5:$A$504,Payments!$B$5:$B$504,A272))</f>
        <v/>
      </c>
      <c r="H272" s="14" t="n"/>
    </row>
    <row r="273">
      <c r="A273" s="14" t="n"/>
      <c r="B273" s="14" t="n"/>
      <c r="C273" s="14" t="n"/>
      <c r="D273" s="14" t="n"/>
      <c r="E273" s="3">
        <f>IF(A273="","",SUMIFS(Payments!$C$5:$C$504,Payments!$B$5:$B$504,A273))</f>
        <v/>
      </c>
      <c r="F273" s="9">
        <f>IF(A273="","",COUNTIFS(Payments!$B$5:$B$504,A273))</f>
        <v/>
      </c>
      <c r="G273" s="5">
        <f>IF(OR(A273="",F273=0),"",_xlfn.MAXIFS(Payments!$A$5:$A$504,Payments!$B$5:$B$504,A273))</f>
        <v/>
      </c>
      <c r="H273" s="14" t="n"/>
    </row>
    <row r="274">
      <c r="A274" s="14" t="n"/>
      <c r="B274" s="14" t="n"/>
      <c r="C274" s="14" t="n"/>
      <c r="D274" s="14" t="n"/>
      <c r="E274" s="3">
        <f>IF(A274="","",SUMIFS(Payments!$C$5:$C$504,Payments!$B$5:$B$504,A274))</f>
        <v/>
      </c>
      <c r="F274" s="9">
        <f>IF(A274="","",COUNTIFS(Payments!$B$5:$B$504,A274))</f>
        <v/>
      </c>
      <c r="G274" s="5">
        <f>IF(OR(A274="",F274=0),"",_xlfn.MAXIFS(Payments!$A$5:$A$504,Payments!$B$5:$B$504,A274))</f>
        <v/>
      </c>
      <c r="H274" s="14" t="n"/>
    </row>
    <row r="275">
      <c r="A275" s="14" t="n"/>
      <c r="B275" s="14" t="n"/>
      <c r="C275" s="14" t="n"/>
      <c r="D275" s="14" t="n"/>
      <c r="E275" s="3">
        <f>IF(A275="","",SUMIFS(Payments!$C$5:$C$504,Payments!$B$5:$B$504,A275))</f>
        <v/>
      </c>
      <c r="F275" s="9">
        <f>IF(A275="","",COUNTIFS(Payments!$B$5:$B$504,A275))</f>
        <v/>
      </c>
      <c r="G275" s="5">
        <f>IF(OR(A275="",F275=0),"",_xlfn.MAXIFS(Payments!$A$5:$A$504,Payments!$B$5:$B$504,A275))</f>
        <v/>
      </c>
      <c r="H275" s="14" t="n"/>
    </row>
    <row r="276">
      <c r="A276" s="14" t="n"/>
      <c r="B276" s="14" t="n"/>
      <c r="C276" s="14" t="n"/>
      <c r="D276" s="14" t="n"/>
      <c r="E276" s="3">
        <f>IF(A276="","",SUMIFS(Payments!$C$5:$C$504,Payments!$B$5:$B$504,A276))</f>
        <v/>
      </c>
      <c r="F276" s="9">
        <f>IF(A276="","",COUNTIFS(Payments!$B$5:$B$504,A276))</f>
        <v/>
      </c>
      <c r="G276" s="5">
        <f>IF(OR(A276="",F276=0),"",_xlfn.MAXIFS(Payments!$A$5:$A$504,Payments!$B$5:$B$504,A276))</f>
        <v/>
      </c>
      <c r="H276" s="14" t="n"/>
    </row>
    <row r="277">
      <c r="A277" s="14" t="n"/>
      <c r="B277" s="14" t="n"/>
      <c r="C277" s="14" t="n"/>
      <c r="D277" s="14" t="n"/>
      <c r="E277" s="3">
        <f>IF(A277="","",SUMIFS(Payments!$C$5:$C$504,Payments!$B$5:$B$504,A277))</f>
        <v/>
      </c>
      <c r="F277" s="9">
        <f>IF(A277="","",COUNTIFS(Payments!$B$5:$B$504,A277))</f>
        <v/>
      </c>
      <c r="G277" s="5">
        <f>IF(OR(A277="",F277=0),"",_xlfn.MAXIFS(Payments!$A$5:$A$504,Payments!$B$5:$B$504,A277))</f>
        <v/>
      </c>
      <c r="H277" s="14" t="n"/>
    </row>
    <row r="278">
      <c r="A278" s="14" t="n"/>
      <c r="B278" s="14" t="n"/>
      <c r="C278" s="14" t="n"/>
      <c r="D278" s="14" t="n"/>
      <c r="E278" s="3">
        <f>IF(A278="","",SUMIFS(Payments!$C$5:$C$504,Payments!$B$5:$B$504,A278))</f>
        <v/>
      </c>
      <c r="F278" s="9">
        <f>IF(A278="","",COUNTIFS(Payments!$B$5:$B$504,A278))</f>
        <v/>
      </c>
      <c r="G278" s="5">
        <f>IF(OR(A278="",F278=0),"",_xlfn.MAXIFS(Payments!$A$5:$A$504,Payments!$B$5:$B$504,A278))</f>
        <v/>
      </c>
      <c r="H278" s="14" t="n"/>
    </row>
    <row r="279">
      <c r="A279" s="14" t="n"/>
      <c r="B279" s="14" t="n"/>
      <c r="C279" s="14" t="n"/>
      <c r="D279" s="14" t="n"/>
      <c r="E279" s="3">
        <f>IF(A279="","",SUMIFS(Payments!$C$5:$C$504,Payments!$B$5:$B$504,A279))</f>
        <v/>
      </c>
      <c r="F279" s="9">
        <f>IF(A279="","",COUNTIFS(Payments!$B$5:$B$504,A279))</f>
        <v/>
      </c>
      <c r="G279" s="5">
        <f>IF(OR(A279="",F279=0),"",_xlfn.MAXIFS(Payments!$A$5:$A$504,Payments!$B$5:$B$504,A279))</f>
        <v/>
      </c>
      <c r="H279" s="14" t="n"/>
    </row>
    <row r="280">
      <c r="A280" s="14" t="n"/>
      <c r="B280" s="14" t="n"/>
      <c r="C280" s="14" t="n"/>
      <c r="D280" s="14" t="n"/>
      <c r="E280" s="3">
        <f>IF(A280="","",SUMIFS(Payments!$C$5:$C$504,Payments!$B$5:$B$504,A280))</f>
        <v/>
      </c>
      <c r="F280" s="9">
        <f>IF(A280="","",COUNTIFS(Payments!$B$5:$B$504,A280))</f>
        <v/>
      </c>
      <c r="G280" s="5">
        <f>IF(OR(A280="",F280=0),"",_xlfn.MAXIFS(Payments!$A$5:$A$504,Payments!$B$5:$B$504,A280))</f>
        <v/>
      </c>
      <c r="H280" s="14" t="n"/>
    </row>
    <row r="281">
      <c r="A281" s="14" t="n"/>
      <c r="B281" s="14" t="n"/>
      <c r="C281" s="14" t="n"/>
      <c r="D281" s="14" t="n"/>
      <c r="E281" s="3">
        <f>IF(A281="","",SUMIFS(Payments!$C$5:$C$504,Payments!$B$5:$B$504,A281))</f>
        <v/>
      </c>
      <c r="F281" s="9">
        <f>IF(A281="","",COUNTIFS(Payments!$B$5:$B$504,A281))</f>
        <v/>
      </c>
      <c r="G281" s="5">
        <f>IF(OR(A281="",F281=0),"",_xlfn.MAXIFS(Payments!$A$5:$A$504,Payments!$B$5:$B$504,A281))</f>
        <v/>
      </c>
      <c r="H281" s="14" t="n"/>
    </row>
    <row r="282">
      <c r="A282" s="14" t="n"/>
      <c r="B282" s="14" t="n"/>
      <c r="C282" s="14" t="n"/>
      <c r="D282" s="14" t="n"/>
      <c r="E282" s="3">
        <f>IF(A282="","",SUMIFS(Payments!$C$5:$C$504,Payments!$B$5:$B$504,A282))</f>
        <v/>
      </c>
      <c r="F282" s="9">
        <f>IF(A282="","",COUNTIFS(Payments!$B$5:$B$504,A282))</f>
        <v/>
      </c>
      <c r="G282" s="5">
        <f>IF(OR(A282="",F282=0),"",_xlfn.MAXIFS(Payments!$A$5:$A$504,Payments!$B$5:$B$504,A282))</f>
        <v/>
      </c>
      <c r="H282" s="14" t="n"/>
    </row>
    <row r="283">
      <c r="A283" s="14" t="n"/>
      <c r="B283" s="14" t="n"/>
      <c r="C283" s="14" t="n"/>
      <c r="D283" s="14" t="n"/>
      <c r="E283" s="3">
        <f>IF(A283="","",SUMIFS(Payments!$C$5:$C$504,Payments!$B$5:$B$504,A283))</f>
        <v/>
      </c>
      <c r="F283" s="9">
        <f>IF(A283="","",COUNTIFS(Payments!$B$5:$B$504,A283))</f>
        <v/>
      </c>
      <c r="G283" s="5">
        <f>IF(OR(A283="",F283=0),"",_xlfn.MAXIFS(Payments!$A$5:$A$504,Payments!$B$5:$B$504,A283))</f>
        <v/>
      </c>
      <c r="H283" s="14" t="n"/>
    </row>
    <row r="284">
      <c r="A284" s="14" t="n"/>
      <c r="B284" s="14" t="n"/>
      <c r="C284" s="14" t="n"/>
      <c r="D284" s="14" t="n"/>
      <c r="E284" s="3">
        <f>IF(A284="","",SUMIFS(Payments!$C$5:$C$504,Payments!$B$5:$B$504,A284))</f>
        <v/>
      </c>
      <c r="F284" s="9">
        <f>IF(A284="","",COUNTIFS(Payments!$B$5:$B$504,A284))</f>
        <v/>
      </c>
      <c r="G284" s="5">
        <f>IF(OR(A284="",F284=0),"",_xlfn.MAXIFS(Payments!$A$5:$A$504,Payments!$B$5:$B$504,A284))</f>
        <v/>
      </c>
      <c r="H284" s="14" t="n"/>
    </row>
    <row r="285">
      <c r="A285" s="14" t="n"/>
      <c r="B285" s="14" t="n"/>
      <c r="C285" s="14" t="n"/>
      <c r="D285" s="14" t="n"/>
      <c r="E285" s="3">
        <f>IF(A285="","",SUMIFS(Payments!$C$5:$C$504,Payments!$B$5:$B$504,A285))</f>
        <v/>
      </c>
      <c r="F285" s="9">
        <f>IF(A285="","",COUNTIFS(Payments!$B$5:$B$504,A285))</f>
        <v/>
      </c>
      <c r="G285" s="5">
        <f>IF(OR(A285="",F285=0),"",_xlfn.MAXIFS(Payments!$A$5:$A$504,Payments!$B$5:$B$504,A285))</f>
        <v/>
      </c>
      <c r="H285" s="14" t="n"/>
    </row>
    <row r="286">
      <c r="A286" s="14" t="n"/>
      <c r="B286" s="14" t="n"/>
      <c r="C286" s="14" t="n"/>
      <c r="D286" s="14" t="n"/>
      <c r="E286" s="3">
        <f>IF(A286="","",SUMIFS(Payments!$C$5:$C$504,Payments!$B$5:$B$504,A286))</f>
        <v/>
      </c>
      <c r="F286" s="9">
        <f>IF(A286="","",COUNTIFS(Payments!$B$5:$B$504,A286))</f>
        <v/>
      </c>
      <c r="G286" s="5">
        <f>IF(OR(A286="",F286=0),"",_xlfn.MAXIFS(Payments!$A$5:$A$504,Payments!$B$5:$B$504,A286))</f>
        <v/>
      </c>
      <c r="H286" s="14" t="n"/>
    </row>
    <row r="287">
      <c r="A287" s="14" t="n"/>
      <c r="B287" s="14" t="n"/>
      <c r="C287" s="14" t="n"/>
      <c r="D287" s="14" t="n"/>
      <c r="E287" s="3">
        <f>IF(A287="","",SUMIFS(Payments!$C$5:$C$504,Payments!$B$5:$B$504,A287))</f>
        <v/>
      </c>
      <c r="F287" s="9">
        <f>IF(A287="","",COUNTIFS(Payments!$B$5:$B$504,A287))</f>
        <v/>
      </c>
      <c r="G287" s="5">
        <f>IF(OR(A287="",F287=0),"",_xlfn.MAXIFS(Payments!$A$5:$A$504,Payments!$B$5:$B$504,A287))</f>
        <v/>
      </c>
      <c r="H287" s="14" t="n"/>
    </row>
    <row r="288">
      <c r="A288" s="14" t="n"/>
      <c r="B288" s="14" t="n"/>
      <c r="C288" s="14" t="n"/>
      <c r="D288" s="14" t="n"/>
      <c r="E288" s="3">
        <f>IF(A288="","",SUMIFS(Payments!$C$5:$C$504,Payments!$B$5:$B$504,A288))</f>
        <v/>
      </c>
      <c r="F288" s="9">
        <f>IF(A288="","",COUNTIFS(Payments!$B$5:$B$504,A288))</f>
        <v/>
      </c>
      <c r="G288" s="5">
        <f>IF(OR(A288="",F288=0),"",_xlfn.MAXIFS(Payments!$A$5:$A$504,Payments!$B$5:$B$504,A288))</f>
        <v/>
      </c>
      <c r="H288" s="14" t="n"/>
    </row>
    <row r="289">
      <c r="A289" s="14" t="n"/>
      <c r="B289" s="14" t="n"/>
      <c r="C289" s="14" t="n"/>
      <c r="D289" s="14" t="n"/>
      <c r="E289" s="3">
        <f>IF(A289="","",SUMIFS(Payments!$C$5:$C$504,Payments!$B$5:$B$504,A289))</f>
        <v/>
      </c>
      <c r="F289" s="9">
        <f>IF(A289="","",COUNTIFS(Payments!$B$5:$B$504,A289))</f>
        <v/>
      </c>
      <c r="G289" s="5">
        <f>IF(OR(A289="",F289=0),"",_xlfn.MAXIFS(Payments!$A$5:$A$504,Payments!$B$5:$B$504,A289))</f>
        <v/>
      </c>
      <c r="H289" s="14" t="n"/>
    </row>
    <row r="290">
      <c r="A290" s="14" t="n"/>
      <c r="B290" s="14" t="n"/>
      <c r="C290" s="14" t="n"/>
      <c r="D290" s="14" t="n"/>
      <c r="E290" s="3">
        <f>IF(A290="","",SUMIFS(Payments!$C$5:$C$504,Payments!$B$5:$B$504,A290))</f>
        <v/>
      </c>
      <c r="F290" s="9">
        <f>IF(A290="","",COUNTIFS(Payments!$B$5:$B$504,A290))</f>
        <v/>
      </c>
      <c r="G290" s="5">
        <f>IF(OR(A290="",F290=0),"",_xlfn.MAXIFS(Payments!$A$5:$A$504,Payments!$B$5:$B$504,A290))</f>
        <v/>
      </c>
      <c r="H290" s="14" t="n"/>
    </row>
    <row r="291">
      <c r="A291" s="14" t="n"/>
      <c r="B291" s="14" t="n"/>
      <c r="C291" s="14" t="n"/>
      <c r="D291" s="14" t="n"/>
      <c r="E291" s="3">
        <f>IF(A291="","",SUMIFS(Payments!$C$5:$C$504,Payments!$B$5:$B$504,A291))</f>
        <v/>
      </c>
      <c r="F291" s="9">
        <f>IF(A291="","",COUNTIFS(Payments!$B$5:$B$504,A291))</f>
        <v/>
      </c>
      <c r="G291" s="5">
        <f>IF(OR(A291="",F291=0),"",_xlfn.MAXIFS(Payments!$A$5:$A$504,Payments!$B$5:$B$504,A291))</f>
        <v/>
      </c>
      <c r="H291" s="14" t="n"/>
    </row>
    <row r="292">
      <c r="A292" s="14" t="n"/>
      <c r="B292" s="14" t="n"/>
      <c r="C292" s="14" t="n"/>
      <c r="D292" s="14" t="n"/>
      <c r="E292" s="3">
        <f>IF(A292="","",SUMIFS(Payments!$C$5:$C$504,Payments!$B$5:$B$504,A292))</f>
        <v/>
      </c>
      <c r="F292" s="9">
        <f>IF(A292="","",COUNTIFS(Payments!$B$5:$B$504,A292))</f>
        <v/>
      </c>
      <c r="G292" s="5">
        <f>IF(OR(A292="",F292=0),"",_xlfn.MAXIFS(Payments!$A$5:$A$504,Payments!$B$5:$B$504,A292))</f>
        <v/>
      </c>
      <c r="H292" s="14" t="n"/>
    </row>
    <row r="293">
      <c r="A293" s="14" t="n"/>
      <c r="B293" s="14" t="n"/>
      <c r="C293" s="14" t="n"/>
      <c r="D293" s="14" t="n"/>
      <c r="E293" s="3">
        <f>IF(A293="","",SUMIFS(Payments!$C$5:$C$504,Payments!$B$5:$B$504,A293))</f>
        <v/>
      </c>
      <c r="F293" s="9">
        <f>IF(A293="","",COUNTIFS(Payments!$B$5:$B$504,A293))</f>
        <v/>
      </c>
      <c r="G293" s="5">
        <f>IF(OR(A293="",F293=0),"",_xlfn.MAXIFS(Payments!$A$5:$A$504,Payments!$B$5:$B$504,A293))</f>
        <v/>
      </c>
      <c r="H293" s="14" t="n"/>
    </row>
    <row r="294">
      <c r="A294" s="14" t="n"/>
      <c r="B294" s="14" t="n"/>
      <c r="C294" s="14" t="n"/>
      <c r="D294" s="14" t="n"/>
      <c r="E294" s="3">
        <f>IF(A294="","",SUMIFS(Payments!$C$5:$C$504,Payments!$B$5:$B$504,A294))</f>
        <v/>
      </c>
      <c r="F294" s="9">
        <f>IF(A294="","",COUNTIFS(Payments!$B$5:$B$504,A294))</f>
        <v/>
      </c>
      <c r="G294" s="5">
        <f>IF(OR(A294="",F294=0),"",_xlfn.MAXIFS(Payments!$A$5:$A$504,Payments!$B$5:$B$504,A294))</f>
        <v/>
      </c>
      <c r="H294" s="14" t="n"/>
    </row>
    <row r="295">
      <c r="A295" s="14" t="n"/>
      <c r="B295" s="14" t="n"/>
      <c r="C295" s="14" t="n"/>
      <c r="D295" s="14" t="n"/>
      <c r="E295" s="3">
        <f>IF(A295="","",SUMIFS(Payments!$C$5:$C$504,Payments!$B$5:$B$504,A295))</f>
        <v/>
      </c>
      <c r="F295" s="9">
        <f>IF(A295="","",COUNTIFS(Payments!$B$5:$B$504,A295))</f>
        <v/>
      </c>
      <c r="G295" s="5">
        <f>IF(OR(A295="",F295=0),"",_xlfn.MAXIFS(Payments!$A$5:$A$504,Payments!$B$5:$B$504,A295))</f>
        <v/>
      </c>
      <c r="H295" s="14" t="n"/>
    </row>
    <row r="296">
      <c r="A296" s="14" t="n"/>
      <c r="B296" s="14" t="n"/>
      <c r="C296" s="14" t="n"/>
      <c r="D296" s="14" t="n"/>
      <c r="E296" s="3">
        <f>IF(A296="","",SUMIFS(Payments!$C$5:$C$504,Payments!$B$5:$B$504,A296))</f>
        <v/>
      </c>
      <c r="F296" s="9">
        <f>IF(A296="","",COUNTIFS(Payments!$B$5:$B$504,A296))</f>
        <v/>
      </c>
      <c r="G296" s="5">
        <f>IF(OR(A296="",F296=0),"",_xlfn.MAXIFS(Payments!$A$5:$A$504,Payments!$B$5:$B$504,A296))</f>
        <v/>
      </c>
      <c r="H296" s="14" t="n"/>
    </row>
    <row r="297">
      <c r="A297" s="14" t="n"/>
      <c r="B297" s="14" t="n"/>
      <c r="C297" s="14" t="n"/>
      <c r="D297" s="14" t="n"/>
      <c r="E297" s="3">
        <f>IF(A297="","",SUMIFS(Payments!$C$5:$C$504,Payments!$B$5:$B$504,A297))</f>
        <v/>
      </c>
      <c r="F297" s="9">
        <f>IF(A297="","",COUNTIFS(Payments!$B$5:$B$504,A297))</f>
        <v/>
      </c>
      <c r="G297" s="5">
        <f>IF(OR(A297="",F297=0),"",_xlfn.MAXIFS(Payments!$A$5:$A$504,Payments!$B$5:$B$504,A297))</f>
        <v/>
      </c>
      <c r="H297" s="14" t="n"/>
    </row>
    <row r="298">
      <c r="A298" s="14" t="n"/>
      <c r="B298" s="14" t="n"/>
      <c r="C298" s="14" t="n"/>
      <c r="D298" s="14" t="n"/>
      <c r="E298" s="3">
        <f>IF(A298="","",SUMIFS(Payments!$C$5:$C$504,Payments!$B$5:$B$504,A298))</f>
        <v/>
      </c>
      <c r="F298" s="9">
        <f>IF(A298="","",COUNTIFS(Payments!$B$5:$B$504,A298))</f>
        <v/>
      </c>
      <c r="G298" s="5">
        <f>IF(OR(A298="",F298=0),"",_xlfn.MAXIFS(Payments!$A$5:$A$504,Payments!$B$5:$B$504,A298))</f>
        <v/>
      </c>
      <c r="H298" s="14" t="n"/>
    </row>
    <row r="299">
      <c r="A299" s="14" t="n"/>
      <c r="B299" s="14" t="n"/>
      <c r="C299" s="14" t="n"/>
      <c r="D299" s="14" t="n"/>
      <c r="E299" s="3">
        <f>IF(A299="","",SUMIFS(Payments!$C$5:$C$504,Payments!$B$5:$B$504,A299))</f>
        <v/>
      </c>
      <c r="F299" s="9">
        <f>IF(A299="","",COUNTIFS(Payments!$B$5:$B$504,A299))</f>
        <v/>
      </c>
      <c r="G299" s="5">
        <f>IF(OR(A299="",F299=0),"",_xlfn.MAXIFS(Payments!$A$5:$A$504,Payments!$B$5:$B$504,A299))</f>
        <v/>
      </c>
      <c r="H299" s="14" t="n"/>
    </row>
    <row r="300">
      <c r="A300" s="14" t="n"/>
      <c r="B300" s="14" t="n"/>
      <c r="C300" s="14" t="n"/>
      <c r="D300" s="14" t="n"/>
      <c r="E300" s="3">
        <f>IF(A300="","",SUMIFS(Payments!$C$5:$C$504,Payments!$B$5:$B$504,A300))</f>
        <v/>
      </c>
      <c r="F300" s="9">
        <f>IF(A300="","",COUNTIFS(Payments!$B$5:$B$504,A300))</f>
        <v/>
      </c>
      <c r="G300" s="5">
        <f>IF(OR(A300="",F300=0),"",_xlfn.MAXIFS(Payments!$A$5:$A$504,Payments!$B$5:$B$504,A300))</f>
        <v/>
      </c>
      <c r="H300" s="14" t="n"/>
    </row>
    <row r="301">
      <c r="A301" s="14" t="n"/>
      <c r="B301" s="14" t="n"/>
      <c r="C301" s="14" t="n"/>
      <c r="D301" s="14" t="n"/>
      <c r="E301" s="3">
        <f>IF(A301="","",SUMIFS(Payments!$C$5:$C$504,Payments!$B$5:$B$504,A301))</f>
        <v/>
      </c>
      <c r="F301" s="9">
        <f>IF(A301="","",COUNTIFS(Payments!$B$5:$B$504,A301))</f>
        <v/>
      </c>
      <c r="G301" s="5">
        <f>IF(OR(A301="",F301=0),"",_xlfn.MAXIFS(Payments!$A$5:$A$504,Payments!$B$5:$B$504,A301))</f>
        <v/>
      </c>
      <c r="H301" s="14" t="n"/>
    </row>
    <row r="302">
      <c r="A302" s="14" t="n"/>
      <c r="B302" s="14" t="n"/>
      <c r="C302" s="14" t="n"/>
      <c r="D302" s="14" t="n"/>
      <c r="E302" s="3">
        <f>IF(A302="","",SUMIFS(Payments!$C$5:$C$504,Payments!$B$5:$B$504,A302))</f>
        <v/>
      </c>
      <c r="F302" s="9">
        <f>IF(A302="","",COUNTIFS(Payments!$B$5:$B$504,A302))</f>
        <v/>
      </c>
      <c r="G302" s="5">
        <f>IF(OR(A302="",F302=0),"",_xlfn.MAXIFS(Payments!$A$5:$A$504,Payments!$B$5:$B$504,A302))</f>
        <v/>
      </c>
      <c r="H302" s="14" t="n"/>
    </row>
    <row r="303">
      <c r="A303" s="14" t="n"/>
      <c r="B303" s="14" t="n"/>
      <c r="C303" s="14" t="n"/>
      <c r="D303" s="14" t="n"/>
      <c r="E303" s="3">
        <f>IF(A303="","",SUMIFS(Payments!$C$5:$C$504,Payments!$B$5:$B$504,A303))</f>
        <v/>
      </c>
      <c r="F303" s="9">
        <f>IF(A303="","",COUNTIFS(Payments!$B$5:$B$504,A303))</f>
        <v/>
      </c>
      <c r="G303" s="5">
        <f>IF(OR(A303="",F303=0),"",_xlfn.MAXIFS(Payments!$A$5:$A$504,Payments!$B$5:$B$504,A303))</f>
        <v/>
      </c>
      <c r="H303" s="14" t="n"/>
    </row>
    <row r="304">
      <c r="A304" s="14" t="n"/>
      <c r="B304" s="14" t="n"/>
      <c r="C304" s="14" t="n"/>
      <c r="D304" s="14" t="n"/>
      <c r="E304" s="3">
        <f>IF(A304="","",SUMIFS(Payments!$C$5:$C$504,Payments!$B$5:$B$504,A304))</f>
        <v/>
      </c>
      <c r="F304" s="9">
        <f>IF(A304="","",COUNTIFS(Payments!$B$5:$B$504,A304))</f>
        <v/>
      </c>
      <c r="G304" s="5">
        <f>IF(OR(A304="",F304=0),"",_xlfn.MAXIFS(Payments!$A$5:$A$504,Payments!$B$5:$B$504,A304))</f>
        <v/>
      </c>
      <c r="H304" s="14" t="n"/>
    </row>
    <row r="305">
      <c r="A305" s="14" t="n"/>
      <c r="B305" s="14" t="n"/>
      <c r="C305" s="14" t="n"/>
      <c r="D305" s="14" t="n"/>
      <c r="E305" s="3">
        <f>IF(A305="","",SUMIFS(Payments!$C$5:$C$504,Payments!$B$5:$B$504,A305))</f>
        <v/>
      </c>
      <c r="F305" s="9">
        <f>IF(A305="","",COUNTIFS(Payments!$B$5:$B$504,A305))</f>
        <v/>
      </c>
      <c r="G305" s="5">
        <f>IF(OR(A305="",F305=0),"",_xlfn.MAXIFS(Payments!$A$5:$A$504,Payments!$B$5:$B$504,A305))</f>
        <v/>
      </c>
      <c r="H305" s="14" t="n"/>
    </row>
    <row r="306">
      <c r="A306" s="14" t="n"/>
      <c r="B306" s="14" t="n"/>
      <c r="C306" s="14" t="n"/>
      <c r="D306" s="14" t="n"/>
      <c r="E306" s="3">
        <f>IF(A306="","",SUMIFS(Payments!$C$5:$C$504,Payments!$B$5:$B$504,A306))</f>
        <v/>
      </c>
      <c r="F306" s="9">
        <f>IF(A306="","",COUNTIFS(Payments!$B$5:$B$504,A306))</f>
        <v/>
      </c>
      <c r="G306" s="5">
        <f>IF(OR(A306="",F306=0),"",_xlfn.MAXIFS(Payments!$A$5:$A$504,Payments!$B$5:$B$504,A306))</f>
        <v/>
      </c>
      <c r="H306" s="14" t="n"/>
    </row>
    <row r="307">
      <c r="A307" s="14" t="n"/>
      <c r="B307" s="14" t="n"/>
      <c r="C307" s="14" t="n"/>
      <c r="D307" s="14" t="n"/>
      <c r="E307" s="3">
        <f>IF(A307="","",SUMIFS(Payments!$C$5:$C$504,Payments!$B$5:$B$504,A307))</f>
        <v/>
      </c>
      <c r="F307" s="9">
        <f>IF(A307="","",COUNTIFS(Payments!$B$5:$B$504,A307))</f>
        <v/>
      </c>
      <c r="G307" s="5">
        <f>IF(OR(A307="",F307=0),"",_xlfn.MAXIFS(Payments!$A$5:$A$504,Payments!$B$5:$B$504,A307))</f>
        <v/>
      </c>
      <c r="H307" s="14" t="n"/>
    </row>
    <row r="308">
      <c r="A308" s="14" t="n"/>
      <c r="B308" s="14" t="n"/>
      <c r="C308" s="14" t="n"/>
      <c r="D308" s="14" t="n"/>
      <c r="E308" s="3">
        <f>IF(A308="","",SUMIFS(Payments!$C$5:$C$504,Payments!$B$5:$B$504,A308))</f>
        <v/>
      </c>
      <c r="F308" s="9">
        <f>IF(A308="","",COUNTIFS(Payments!$B$5:$B$504,A308))</f>
        <v/>
      </c>
      <c r="G308" s="5">
        <f>IF(OR(A308="",F308=0),"",_xlfn.MAXIFS(Payments!$A$5:$A$504,Payments!$B$5:$B$504,A308))</f>
        <v/>
      </c>
      <c r="H308" s="14" t="n"/>
    </row>
    <row r="309">
      <c r="A309" s="14" t="n"/>
      <c r="B309" s="14" t="n"/>
      <c r="C309" s="14" t="n"/>
      <c r="D309" s="14" t="n"/>
      <c r="E309" s="3">
        <f>IF(A309="","",SUMIFS(Payments!$C$5:$C$504,Payments!$B$5:$B$504,A309))</f>
        <v/>
      </c>
      <c r="F309" s="9">
        <f>IF(A309="","",COUNTIFS(Payments!$B$5:$B$504,A309))</f>
        <v/>
      </c>
      <c r="G309" s="5">
        <f>IF(OR(A309="",F309=0),"",_xlfn.MAXIFS(Payments!$A$5:$A$504,Payments!$B$5:$B$504,A309))</f>
        <v/>
      </c>
      <c r="H309" s="14" t="n"/>
    </row>
    <row r="310">
      <c r="A310" s="14" t="n"/>
      <c r="B310" s="14" t="n"/>
      <c r="C310" s="14" t="n"/>
      <c r="D310" s="14" t="n"/>
      <c r="E310" s="3">
        <f>IF(A310="","",SUMIFS(Payments!$C$5:$C$504,Payments!$B$5:$B$504,A310))</f>
        <v/>
      </c>
      <c r="F310" s="9">
        <f>IF(A310="","",COUNTIFS(Payments!$B$5:$B$504,A310))</f>
        <v/>
      </c>
      <c r="G310" s="5">
        <f>IF(OR(A310="",F310=0),"",_xlfn.MAXIFS(Payments!$A$5:$A$504,Payments!$B$5:$B$504,A310))</f>
        <v/>
      </c>
      <c r="H310" s="14" t="n"/>
    </row>
    <row r="311">
      <c r="A311" s="14" t="n"/>
      <c r="B311" s="14" t="n"/>
      <c r="C311" s="14" t="n"/>
      <c r="D311" s="14" t="n"/>
      <c r="E311" s="3">
        <f>IF(A311="","",SUMIFS(Payments!$C$5:$C$504,Payments!$B$5:$B$504,A311))</f>
        <v/>
      </c>
      <c r="F311" s="9">
        <f>IF(A311="","",COUNTIFS(Payments!$B$5:$B$504,A311))</f>
        <v/>
      </c>
      <c r="G311" s="5">
        <f>IF(OR(A311="",F311=0),"",_xlfn.MAXIFS(Payments!$A$5:$A$504,Payments!$B$5:$B$504,A311))</f>
        <v/>
      </c>
      <c r="H311" s="14" t="n"/>
    </row>
    <row r="312">
      <c r="A312" s="14" t="n"/>
      <c r="B312" s="14" t="n"/>
      <c r="C312" s="14" t="n"/>
      <c r="D312" s="14" t="n"/>
      <c r="E312" s="3">
        <f>IF(A312="","",SUMIFS(Payments!$C$5:$C$504,Payments!$B$5:$B$504,A312))</f>
        <v/>
      </c>
      <c r="F312" s="9">
        <f>IF(A312="","",COUNTIFS(Payments!$B$5:$B$504,A312))</f>
        <v/>
      </c>
      <c r="G312" s="5">
        <f>IF(OR(A312="",F312=0),"",_xlfn.MAXIFS(Payments!$A$5:$A$504,Payments!$B$5:$B$504,A312))</f>
        <v/>
      </c>
      <c r="H312" s="14" t="n"/>
    </row>
    <row r="313">
      <c r="A313" s="14" t="n"/>
      <c r="B313" s="14" t="n"/>
      <c r="C313" s="14" t="n"/>
      <c r="D313" s="14" t="n"/>
      <c r="E313" s="3">
        <f>IF(A313="","",SUMIFS(Payments!$C$5:$C$504,Payments!$B$5:$B$504,A313))</f>
        <v/>
      </c>
      <c r="F313" s="9">
        <f>IF(A313="","",COUNTIFS(Payments!$B$5:$B$504,A313))</f>
        <v/>
      </c>
      <c r="G313" s="5">
        <f>IF(OR(A313="",F313=0),"",_xlfn.MAXIFS(Payments!$A$5:$A$504,Payments!$B$5:$B$504,A313))</f>
        <v/>
      </c>
      <c r="H313" s="14" t="n"/>
    </row>
    <row r="314">
      <c r="A314" s="14" t="n"/>
      <c r="B314" s="14" t="n"/>
      <c r="C314" s="14" t="n"/>
      <c r="D314" s="14" t="n"/>
      <c r="E314" s="3">
        <f>IF(A314="","",SUMIFS(Payments!$C$5:$C$504,Payments!$B$5:$B$504,A314))</f>
        <v/>
      </c>
      <c r="F314" s="9">
        <f>IF(A314="","",COUNTIFS(Payments!$B$5:$B$504,A314))</f>
        <v/>
      </c>
      <c r="G314" s="5">
        <f>IF(OR(A314="",F314=0),"",_xlfn.MAXIFS(Payments!$A$5:$A$504,Payments!$B$5:$B$504,A314))</f>
        <v/>
      </c>
      <c r="H314" s="14" t="n"/>
    </row>
    <row r="315">
      <c r="A315" s="14" t="n"/>
      <c r="B315" s="14" t="n"/>
      <c r="C315" s="14" t="n"/>
      <c r="D315" s="14" t="n"/>
      <c r="E315" s="3">
        <f>IF(A315="","",SUMIFS(Payments!$C$5:$C$504,Payments!$B$5:$B$504,A315))</f>
        <v/>
      </c>
      <c r="F315" s="9">
        <f>IF(A315="","",COUNTIFS(Payments!$B$5:$B$504,A315))</f>
        <v/>
      </c>
      <c r="G315" s="5">
        <f>IF(OR(A315="",F315=0),"",_xlfn.MAXIFS(Payments!$A$5:$A$504,Payments!$B$5:$B$504,A315))</f>
        <v/>
      </c>
      <c r="H315" s="14" t="n"/>
    </row>
    <row r="316">
      <c r="A316" s="14" t="n"/>
      <c r="B316" s="14" t="n"/>
      <c r="C316" s="14" t="n"/>
      <c r="D316" s="14" t="n"/>
      <c r="E316" s="3">
        <f>IF(A316="","",SUMIFS(Payments!$C$5:$C$504,Payments!$B$5:$B$504,A316))</f>
        <v/>
      </c>
      <c r="F316" s="9">
        <f>IF(A316="","",COUNTIFS(Payments!$B$5:$B$504,A316))</f>
        <v/>
      </c>
      <c r="G316" s="5">
        <f>IF(OR(A316="",F316=0),"",_xlfn.MAXIFS(Payments!$A$5:$A$504,Payments!$B$5:$B$504,A316))</f>
        <v/>
      </c>
      <c r="H316" s="14" t="n"/>
    </row>
    <row r="317">
      <c r="A317" s="14" t="n"/>
      <c r="B317" s="14" t="n"/>
      <c r="C317" s="14" t="n"/>
      <c r="D317" s="14" t="n"/>
      <c r="E317" s="3">
        <f>IF(A317="","",SUMIFS(Payments!$C$5:$C$504,Payments!$B$5:$B$504,A317))</f>
        <v/>
      </c>
      <c r="F317" s="9">
        <f>IF(A317="","",COUNTIFS(Payments!$B$5:$B$504,A317))</f>
        <v/>
      </c>
      <c r="G317" s="5">
        <f>IF(OR(A317="",F317=0),"",_xlfn.MAXIFS(Payments!$A$5:$A$504,Payments!$B$5:$B$504,A317))</f>
        <v/>
      </c>
      <c r="H317" s="14" t="n"/>
    </row>
    <row r="318">
      <c r="A318" s="14" t="n"/>
      <c r="B318" s="14" t="n"/>
      <c r="C318" s="14" t="n"/>
      <c r="D318" s="14" t="n"/>
      <c r="E318" s="3">
        <f>IF(A318="","",SUMIFS(Payments!$C$5:$C$504,Payments!$B$5:$B$504,A318))</f>
        <v/>
      </c>
      <c r="F318" s="9">
        <f>IF(A318="","",COUNTIFS(Payments!$B$5:$B$504,A318))</f>
        <v/>
      </c>
      <c r="G318" s="5">
        <f>IF(OR(A318="",F318=0),"",_xlfn.MAXIFS(Payments!$A$5:$A$504,Payments!$B$5:$B$504,A318))</f>
        <v/>
      </c>
      <c r="H318" s="14" t="n"/>
    </row>
    <row r="319">
      <c r="A319" s="14" t="n"/>
      <c r="B319" s="14" t="n"/>
      <c r="C319" s="14" t="n"/>
      <c r="D319" s="14" t="n"/>
      <c r="E319" s="3">
        <f>IF(A319="","",SUMIFS(Payments!$C$5:$C$504,Payments!$B$5:$B$504,A319))</f>
        <v/>
      </c>
      <c r="F319" s="9">
        <f>IF(A319="","",COUNTIFS(Payments!$B$5:$B$504,A319))</f>
        <v/>
      </c>
      <c r="G319" s="5">
        <f>IF(OR(A319="",F319=0),"",_xlfn.MAXIFS(Payments!$A$5:$A$504,Payments!$B$5:$B$504,A319))</f>
        <v/>
      </c>
      <c r="H319" s="14" t="n"/>
    </row>
    <row r="320">
      <c r="A320" s="14" t="n"/>
      <c r="B320" s="14" t="n"/>
      <c r="C320" s="14" t="n"/>
      <c r="D320" s="14" t="n"/>
      <c r="E320" s="3">
        <f>IF(A320="","",SUMIFS(Payments!$C$5:$C$504,Payments!$B$5:$B$504,A320))</f>
        <v/>
      </c>
      <c r="F320" s="9">
        <f>IF(A320="","",COUNTIFS(Payments!$B$5:$B$504,A320))</f>
        <v/>
      </c>
      <c r="G320" s="5">
        <f>IF(OR(A320="",F320=0),"",_xlfn.MAXIFS(Payments!$A$5:$A$504,Payments!$B$5:$B$504,A320))</f>
        <v/>
      </c>
      <c r="H320" s="14" t="n"/>
    </row>
    <row r="321">
      <c r="A321" s="14" t="n"/>
      <c r="B321" s="14" t="n"/>
      <c r="C321" s="14" t="n"/>
      <c r="D321" s="14" t="n"/>
      <c r="E321" s="3">
        <f>IF(A321="","",SUMIFS(Payments!$C$5:$C$504,Payments!$B$5:$B$504,A321))</f>
        <v/>
      </c>
      <c r="F321" s="9">
        <f>IF(A321="","",COUNTIFS(Payments!$B$5:$B$504,A321))</f>
        <v/>
      </c>
      <c r="G321" s="5">
        <f>IF(OR(A321="",F321=0),"",_xlfn.MAXIFS(Payments!$A$5:$A$504,Payments!$B$5:$B$504,A321))</f>
        <v/>
      </c>
      <c r="H321" s="14" t="n"/>
    </row>
    <row r="322">
      <c r="A322" s="14" t="n"/>
      <c r="B322" s="14" t="n"/>
      <c r="C322" s="14" t="n"/>
      <c r="D322" s="14" t="n"/>
      <c r="E322" s="3">
        <f>IF(A322="","",SUMIFS(Payments!$C$5:$C$504,Payments!$B$5:$B$504,A322))</f>
        <v/>
      </c>
      <c r="F322" s="9">
        <f>IF(A322="","",COUNTIFS(Payments!$B$5:$B$504,A322))</f>
        <v/>
      </c>
      <c r="G322" s="5">
        <f>IF(OR(A322="",F322=0),"",_xlfn.MAXIFS(Payments!$A$5:$A$504,Payments!$B$5:$B$504,A322))</f>
        <v/>
      </c>
      <c r="H322" s="14" t="n"/>
    </row>
    <row r="323">
      <c r="A323" s="14" t="n"/>
      <c r="B323" s="14" t="n"/>
      <c r="C323" s="14" t="n"/>
      <c r="D323" s="14" t="n"/>
      <c r="E323" s="3">
        <f>IF(A323="","",SUMIFS(Payments!$C$5:$C$504,Payments!$B$5:$B$504,A323))</f>
        <v/>
      </c>
      <c r="F323" s="9">
        <f>IF(A323="","",COUNTIFS(Payments!$B$5:$B$504,A323))</f>
        <v/>
      </c>
      <c r="G323" s="5">
        <f>IF(OR(A323="",F323=0),"",_xlfn.MAXIFS(Payments!$A$5:$A$504,Payments!$B$5:$B$504,A323))</f>
        <v/>
      </c>
      <c r="H323" s="14" t="n"/>
    </row>
    <row r="324">
      <c r="A324" s="14" t="n"/>
      <c r="B324" s="14" t="n"/>
      <c r="C324" s="14" t="n"/>
      <c r="D324" s="14" t="n"/>
      <c r="E324" s="3">
        <f>IF(A324="","",SUMIFS(Payments!$C$5:$C$504,Payments!$B$5:$B$504,A324))</f>
        <v/>
      </c>
      <c r="F324" s="9">
        <f>IF(A324="","",COUNTIFS(Payments!$B$5:$B$504,A324))</f>
        <v/>
      </c>
      <c r="G324" s="5">
        <f>IF(OR(A324="",F324=0),"",_xlfn.MAXIFS(Payments!$A$5:$A$504,Payments!$B$5:$B$504,A324))</f>
        <v/>
      </c>
      <c r="H324" s="14" t="n"/>
    </row>
    <row r="325">
      <c r="A325" s="14" t="n"/>
      <c r="B325" s="14" t="n"/>
      <c r="C325" s="14" t="n"/>
      <c r="D325" s="14" t="n"/>
      <c r="E325" s="3">
        <f>IF(A325="","",SUMIFS(Payments!$C$5:$C$504,Payments!$B$5:$B$504,A325))</f>
        <v/>
      </c>
      <c r="F325" s="9">
        <f>IF(A325="","",COUNTIFS(Payments!$B$5:$B$504,A325))</f>
        <v/>
      </c>
      <c r="G325" s="5">
        <f>IF(OR(A325="",F325=0),"",_xlfn.MAXIFS(Payments!$A$5:$A$504,Payments!$B$5:$B$504,A325))</f>
        <v/>
      </c>
      <c r="H325" s="14" t="n"/>
    </row>
    <row r="326">
      <c r="A326" s="14" t="n"/>
      <c r="B326" s="14" t="n"/>
      <c r="C326" s="14" t="n"/>
      <c r="D326" s="14" t="n"/>
      <c r="E326" s="3">
        <f>IF(A326="","",SUMIFS(Payments!$C$5:$C$504,Payments!$B$5:$B$504,A326))</f>
        <v/>
      </c>
      <c r="F326" s="9">
        <f>IF(A326="","",COUNTIFS(Payments!$B$5:$B$504,A326))</f>
        <v/>
      </c>
      <c r="G326" s="5">
        <f>IF(OR(A326="",F326=0),"",_xlfn.MAXIFS(Payments!$A$5:$A$504,Payments!$B$5:$B$504,A326))</f>
        <v/>
      </c>
      <c r="H326" s="14" t="n"/>
    </row>
    <row r="327">
      <c r="A327" s="14" t="n"/>
      <c r="B327" s="14" t="n"/>
      <c r="C327" s="14" t="n"/>
      <c r="D327" s="14" t="n"/>
      <c r="E327" s="3">
        <f>IF(A327="","",SUMIFS(Payments!$C$5:$C$504,Payments!$B$5:$B$504,A327))</f>
        <v/>
      </c>
      <c r="F327" s="9">
        <f>IF(A327="","",COUNTIFS(Payments!$B$5:$B$504,A327))</f>
        <v/>
      </c>
      <c r="G327" s="5">
        <f>IF(OR(A327="",F327=0),"",_xlfn.MAXIFS(Payments!$A$5:$A$504,Payments!$B$5:$B$504,A327))</f>
        <v/>
      </c>
      <c r="H327" s="14" t="n"/>
    </row>
    <row r="328">
      <c r="A328" s="14" t="n"/>
      <c r="B328" s="14" t="n"/>
      <c r="C328" s="14" t="n"/>
      <c r="D328" s="14" t="n"/>
      <c r="E328" s="3">
        <f>IF(A328="","",SUMIFS(Payments!$C$5:$C$504,Payments!$B$5:$B$504,A328))</f>
        <v/>
      </c>
      <c r="F328" s="9">
        <f>IF(A328="","",COUNTIFS(Payments!$B$5:$B$504,A328))</f>
        <v/>
      </c>
      <c r="G328" s="5">
        <f>IF(OR(A328="",F328=0),"",_xlfn.MAXIFS(Payments!$A$5:$A$504,Payments!$B$5:$B$504,A328))</f>
        <v/>
      </c>
      <c r="H328" s="14" t="n"/>
    </row>
    <row r="329">
      <c r="A329" s="14" t="n"/>
      <c r="B329" s="14" t="n"/>
      <c r="C329" s="14" t="n"/>
      <c r="D329" s="14" t="n"/>
      <c r="E329" s="3">
        <f>IF(A329="","",SUMIFS(Payments!$C$5:$C$504,Payments!$B$5:$B$504,A329))</f>
        <v/>
      </c>
      <c r="F329" s="9">
        <f>IF(A329="","",COUNTIFS(Payments!$B$5:$B$504,A329))</f>
        <v/>
      </c>
      <c r="G329" s="5">
        <f>IF(OR(A329="",F329=0),"",_xlfn.MAXIFS(Payments!$A$5:$A$504,Payments!$B$5:$B$504,A329))</f>
        <v/>
      </c>
      <c r="H329" s="14" t="n"/>
    </row>
    <row r="330">
      <c r="A330" s="14" t="n"/>
      <c r="B330" s="14" t="n"/>
      <c r="C330" s="14" t="n"/>
      <c r="D330" s="14" t="n"/>
      <c r="E330" s="3">
        <f>IF(A330="","",SUMIFS(Payments!$C$5:$C$504,Payments!$B$5:$B$504,A330))</f>
        <v/>
      </c>
      <c r="F330" s="9">
        <f>IF(A330="","",COUNTIFS(Payments!$B$5:$B$504,A330))</f>
        <v/>
      </c>
      <c r="G330" s="5">
        <f>IF(OR(A330="",F330=0),"",_xlfn.MAXIFS(Payments!$A$5:$A$504,Payments!$B$5:$B$504,A330))</f>
        <v/>
      </c>
      <c r="H330" s="14" t="n"/>
    </row>
    <row r="331">
      <c r="A331" s="14" t="n"/>
      <c r="B331" s="14" t="n"/>
      <c r="C331" s="14" t="n"/>
      <c r="D331" s="14" t="n"/>
      <c r="E331" s="3">
        <f>IF(A331="","",SUMIFS(Payments!$C$5:$C$504,Payments!$B$5:$B$504,A331))</f>
        <v/>
      </c>
      <c r="F331" s="9">
        <f>IF(A331="","",COUNTIFS(Payments!$B$5:$B$504,A331))</f>
        <v/>
      </c>
      <c r="G331" s="5">
        <f>IF(OR(A331="",F331=0),"",_xlfn.MAXIFS(Payments!$A$5:$A$504,Payments!$B$5:$B$504,A331))</f>
        <v/>
      </c>
      <c r="H331" s="14" t="n"/>
    </row>
    <row r="332">
      <c r="A332" s="14" t="n"/>
      <c r="B332" s="14" t="n"/>
      <c r="C332" s="14" t="n"/>
      <c r="D332" s="14" t="n"/>
      <c r="E332" s="3">
        <f>IF(A332="","",SUMIFS(Payments!$C$5:$C$504,Payments!$B$5:$B$504,A332))</f>
        <v/>
      </c>
      <c r="F332" s="9">
        <f>IF(A332="","",COUNTIFS(Payments!$B$5:$B$504,A332))</f>
        <v/>
      </c>
      <c r="G332" s="5">
        <f>IF(OR(A332="",F332=0),"",_xlfn.MAXIFS(Payments!$A$5:$A$504,Payments!$B$5:$B$504,A332))</f>
        <v/>
      </c>
      <c r="H332" s="14" t="n"/>
    </row>
    <row r="333">
      <c r="A333" s="14" t="n"/>
      <c r="B333" s="14" t="n"/>
      <c r="C333" s="14" t="n"/>
      <c r="D333" s="14" t="n"/>
      <c r="E333" s="3">
        <f>IF(A333="","",SUMIFS(Payments!$C$5:$C$504,Payments!$B$5:$B$504,A333))</f>
        <v/>
      </c>
      <c r="F333" s="9">
        <f>IF(A333="","",COUNTIFS(Payments!$B$5:$B$504,A333))</f>
        <v/>
      </c>
      <c r="G333" s="5">
        <f>IF(OR(A333="",F333=0),"",_xlfn.MAXIFS(Payments!$A$5:$A$504,Payments!$B$5:$B$504,A333))</f>
        <v/>
      </c>
      <c r="H333" s="14" t="n"/>
    </row>
    <row r="334">
      <c r="A334" s="14" t="n"/>
      <c r="B334" s="14" t="n"/>
      <c r="C334" s="14" t="n"/>
      <c r="D334" s="14" t="n"/>
      <c r="E334" s="3">
        <f>IF(A334="","",SUMIFS(Payments!$C$5:$C$504,Payments!$B$5:$B$504,A334))</f>
        <v/>
      </c>
      <c r="F334" s="9">
        <f>IF(A334="","",COUNTIFS(Payments!$B$5:$B$504,A334))</f>
        <v/>
      </c>
      <c r="G334" s="5">
        <f>IF(OR(A334="",F334=0),"",_xlfn.MAXIFS(Payments!$A$5:$A$504,Payments!$B$5:$B$504,A334))</f>
        <v/>
      </c>
      <c r="H334" s="14" t="n"/>
    </row>
    <row r="335">
      <c r="A335" s="14" t="n"/>
      <c r="B335" s="14" t="n"/>
      <c r="C335" s="14" t="n"/>
      <c r="D335" s="14" t="n"/>
      <c r="E335" s="3">
        <f>IF(A335="","",SUMIFS(Payments!$C$5:$C$504,Payments!$B$5:$B$504,A335))</f>
        <v/>
      </c>
      <c r="F335" s="9">
        <f>IF(A335="","",COUNTIFS(Payments!$B$5:$B$504,A335))</f>
        <v/>
      </c>
      <c r="G335" s="5">
        <f>IF(OR(A335="",F335=0),"",_xlfn.MAXIFS(Payments!$A$5:$A$504,Payments!$B$5:$B$504,A335))</f>
        <v/>
      </c>
      <c r="H335" s="14" t="n"/>
    </row>
    <row r="336">
      <c r="A336" s="14" t="n"/>
      <c r="B336" s="14" t="n"/>
      <c r="C336" s="14" t="n"/>
      <c r="D336" s="14" t="n"/>
      <c r="E336" s="3">
        <f>IF(A336="","",SUMIFS(Payments!$C$5:$C$504,Payments!$B$5:$B$504,A336))</f>
        <v/>
      </c>
      <c r="F336" s="9">
        <f>IF(A336="","",COUNTIFS(Payments!$B$5:$B$504,A336))</f>
        <v/>
      </c>
      <c r="G336" s="5">
        <f>IF(OR(A336="",F336=0),"",_xlfn.MAXIFS(Payments!$A$5:$A$504,Payments!$B$5:$B$504,A336))</f>
        <v/>
      </c>
      <c r="H336" s="14" t="n"/>
    </row>
    <row r="337">
      <c r="A337" s="14" t="n"/>
      <c r="B337" s="14" t="n"/>
      <c r="C337" s="14" t="n"/>
      <c r="D337" s="14" t="n"/>
      <c r="E337" s="3">
        <f>IF(A337="","",SUMIFS(Payments!$C$5:$C$504,Payments!$B$5:$B$504,A337))</f>
        <v/>
      </c>
      <c r="F337" s="9">
        <f>IF(A337="","",COUNTIFS(Payments!$B$5:$B$504,A337))</f>
        <v/>
      </c>
      <c r="G337" s="5">
        <f>IF(OR(A337="",F337=0),"",_xlfn.MAXIFS(Payments!$A$5:$A$504,Payments!$B$5:$B$504,A337))</f>
        <v/>
      </c>
      <c r="H337" s="14" t="n"/>
    </row>
    <row r="338">
      <c r="A338" s="14" t="n"/>
      <c r="B338" s="14" t="n"/>
      <c r="C338" s="14" t="n"/>
      <c r="D338" s="14" t="n"/>
      <c r="E338" s="3">
        <f>IF(A338="","",SUMIFS(Payments!$C$5:$C$504,Payments!$B$5:$B$504,A338))</f>
        <v/>
      </c>
      <c r="F338" s="9">
        <f>IF(A338="","",COUNTIFS(Payments!$B$5:$B$504,A338))</f>
        <v/>
      </c>
      <c r="G338" s="5">
        <f>IF(OR(A338="",F338=0),"",_xlfn.MAXIFS(Payments!$A$5:$A$504,Payments!$B$5:$B$504,A338))</f>
        <v/>
      </c>
      <c r="H338" s="14" t="n"/>
    </row>
    <row r="339">
      <c r="A339" s="14" t="n"/>
      <c r="B339" s="14" t="n"/>
      <c r="C339" s="14" t="n"/>
      <c r="D339" s="14" t="n"/>
      <c r="E339" s="3">
        <f>IF(A339="","",SUMIFS(Payments!$C$5:$C$504,Payments!$B$5:$B$504,A339))</f>
        <v/>
      </c>
      <c r="F339" s="9">
        <f>IF(A339="","",COUNTIFS(Payments!$B$5:$B$504,A339))</f>
        <v/>
      </c>
      <c r="G339" s="5">
        <f>IF(OR(A339="",F339=0),"",_xlfn.MAXIFS(Payments!$A$5:$A$504,Payments!$B$5:$B$504,A339))</f>
        <v/>
      </c>
      <c r="H339" s="14" t="n"/>
    </row>
    <row r="340">
      <c r="A340" s="14" t="n"/>
      <c r="B340" s="14" t="n"/>
      <c r="C340" s="14" t="n"/>
      <c r="D340" s="14" t="n"/>
      <c r="E340" s="3">
        <f>IF(A340="","",SUMIFS(Payments!$C$5:$C$504,Payments!$B$5:$B$504,A340))</f>
        <v/>
      </c>
      <c r="F340" s="9">
        <f>IF(A340="","",COUNTIFS(Payments!$B$5:$B$504,A340))</f>
        <v/>
      </c>
      <c r="G340" s="5">
        <f>IF(OR(A340="",F340=0),"",_xlfn.MAXIFS(Payments!$A$5:$A$504,Payments!$B$5:$B$504,A340))</f>
        <v/>
      </c>
      <c r="H340" s="14" t="n"/>
    </row>
    <row r="341">
      <c r="A341" s="14" t="n"/>
      <c r="B341" s="14" t="n"/>
      <c r="C341" s="14" t="n"/>
      <c r="D341" s="14" t="n"/>
      <c r="E341" s="3">
        <f>IF(A341="","",SUMIFS(Payments!$C$5:$C$504,Payments!$B$5:$B$504,A341))</f>
        <v/>
      </c>
      <c r="F341" s="9">
        <f>IF(A341="","",COUNTIFS(Payments!$B$5:$B$504,A341))</f>
        <v/>
      </c>
      <c r="G341" s="5">
        <f>IF(OR(A341="",F341=0),"",_xlfn.MAXIFS(Payments!$A$5:$A$504,Payments!$B$5:$B$504,A341))</f>
        <v/>
      </c>
      <c r="H341" s="14" t="n"/>
    </row>
    <row r="342">
      <c r="A342" s="14" t="n"/>
      <c r="B342" s="14" t="n"/>
      <c r="C342" s="14" t="n"/>
      <c r="D342" s="14" t="n"/>
      <c r="E342" s="3">
        <f>IF(A342="","",SUMIFS(Payments!$C$5:$C$504,Payments!$B$5:$B$504,A342))</f>
        <v/>
      </c>
      <c r="F342" s="9">
        <f>IF(A342="","",COUNTIFS(Payments!$B$5:$B$504,A342))</f>
        <v/>
      </c>
      <c r="G342" s="5">
        <f>IF(OR(A342="",F342=0),"",_xlfn.MAXIFS(Payments!$A$5:$A$504,Payments!$B$5:$B$504,A342))</f>
        <v/>
      </c>
      <c r="H342" s="14" t="n"/>
    </row>
    <row r="343">
      <c r="A343" s="14" t="n"/>
      <c r="B343" s="14" t="n"/>
      <c r="C343" s="14" t="n"/>
      <c r="D343" s="14" t="n"/>
      <c r="E343" s="3">
        <f>IF(A343="","",SUMIFS(Payments!$C$5:$C$504,Payments!$B$5:$B$504,A343))</f>
        <v/>
      </c>
      <c r="F343" s="9">
        <f>IF(A343="","",COUNTIFS(Payments!$B$5:$B$504,A343))</f>
        <v/>
      </c>
      <c r="G343" s="5">
        <f>IF(OR(A343="",F343=0),"",_xlfn.MAXIFS(Payments!$A$5:$A$504,Payments!$B$5:$B$504,A343))</f>
        <v/>
      </c>
      <c r="H343" s="14" t="n"/>
    </row>
    <row r="344">
      <c r="A344" s="14" t="n"/>
      <c r="B344" s="14" t="n"/>
      <c r="C344" s="14" t="n"/>
      <c r="D344" s="14" t="n"/>
      <c r="E344" s="3">
        <f>IF(A344="","",SUMIFS(Payments!$C$5:$C$504,Payments!$B$5:$B$504,A344))</f>
        <v/>
      </c>
      <c r="F344" s="9">
        <f>IF(A344="","",COUNTIFS(Payments!$B$5:$B$504,A344))</f>
        <v/>
      </c>
      <c r="G344" s="5">
        <f>IF(OR(A344="",F344=0),"",_xlfn.MAXIFS(Payments!$A$5:$A$504,Payments!$B$5:$B$504,A344))</f>
        <v/>
      </c>
      <c r="H344" s="14" t="n"/>
    </row>
    <row r="345">
      <c r="A345" s="14" t="n"/>
      <c r="B345" s="14" t="n"/>
      <c r="C345" s="14" t="n"/>
      <c r="D345" s="14" t="n"/>
      <c r="E345" s="3">
        <f>IF(A345="","",SUMIFS(Payments!$C$5:$C$504,Payments!$B$5:$B$504,A345))</f>
        <v/>
      </c>
      <c r="F345" s="9">
        <f>IF(A345="","",COUNTIFS(Payments!$B$5:$B$504,A345))</f>
        <v/>
      </c>
      <c r="G345" s="5">
        <f>IF(OR(A345="",F345=0),"",_xlfn.MAXIFS(Payments!$A$5:$A$504,Payments!$B$5:$B$504,A345))</f>
        <v/>
      </c>
      <c r="H345" s="14" t="n"/>
    </row>
    <row r="346">
      <c r="A346" s="14" t="n"/>
      <c r="B346" s="14" t="n"/>
      <c r="C346" s="14" t="n"/>
      <c r="D346" s="14" t="n"/>
      <c r="E346" s="3">
        <f>IF(A346="","",SUMIFS(Payments!$C$5:$C$504,Payments!$B$5:$B$504,A346))</f>
        <v/>
      </c>
      <c r="F346" s="9">
        <f>IF(A346="","",COUNTIFS(Payments!$B$5:$B$504,A346))</f>
        <v/>
      </c>
      <c r="G346" s="5">
        <f>IF(OR(A346="",F346=0),"",_xlfn.MAXIFS(Payments!$A$5:$A$504,Payments!$B$5:$B$504,A346))</f>
        <v/>
      </c>
      <c r="H346" s="14" t="n"/>
    </row>
    <row r="347">
      <c r="A347" s="14" t="n"/>
      <c r="B347" s="14" t="n"/>
      <c r="C347" s="14" t="n"/>
      <c r="D347" s="14" t="n"/>
      <c r="E347" s="3">
        <f>IF(A347="","",SUMIFS(Payments!$C$5:$C$504,Payments!$B$5:$B$504,A347))</f>
        <v/>
      </c>
      <c r="F347" s="9">
        <f>IF(A347="","",COUNTIFS(Payments!$B$5:$B$504,A347))</f>
        <v/>
      </c>
      <c r="G347" s="5">
        <f>IF(OR(A347="",F347=0),"",_xlfn.MAXIFS(Payments!$A$5:$A$504,Payments!$B$5:$B$504,A347))</f>
        <v/>
      </c>
      <c r="H347" s="14" t="n"/>
    </row>
    <row r="348">
      <c r="A348" s="14" t="n"/>
      <c r="B348" s="14" t="n"/>
      <c r="C348" s="14" t="n"/>
      <c r="D348" s="14" t="n"/>
      <c r="E348" s="3">
        <f>IF(A348="","",SUMIFS(Payments!$C$5:$C$504,Payments!$B$5:$B$504,A348))</f>
        <v/>
      </c>
      <c r="F348" s="9">
        <f>IF(A348="","",COUNTIFS(Payments!$B$5:$B$504,A348))</f>
        <v/>
      </c>
      <c r="G348" s="5">
        <f>IF(OR(A348="",F348=0),"",_xlfn.MAXIFS(Payments!$A$5:$A$504,Payments!$B$5:$B$504,A348))</f>
        <v/>
      </c>
      <c r="H348" s="14" t="n"/>
    </row>
    <row r="349">
      <c r="A349" s="14" t="n"/>
      <c r="B349" s="14" t="n"/>
      <c r="C349" s="14" t="n"/>
      <c r="D349" s="14" t="n"/>
      <c r="E349" s="3">
        <f>IF(A349="","",SUMIFS(Payments!$C$5:$C$504,Payments!$B$5:$B$504,A349))</f>
        <v/>
      </c>
      <c r="F349" s="9">
        <f>IF(A349="","",COUNTIFS(Payments!$B$5:$B$504,A349))</f>
        <v/>
      </c>
      <c r="G349" s="5">
        <f>IF(OR(A349="",F349=0),"",_xlfn.MAXIFS(Payments!$A$5:$A$504,Payments!$B$5:$B$504,A349))</f>
        <v/>
      </c>
      <c r="H349" s="14" t="n"/>
    </row>
    <row r="350">
      <c r="A350" s="14" t="n"/>
      <c r="B350" s="14" t="n"/>
      <c r="C350" s="14" t="n"/>
      <c r="D350" s="14" t="n"/>
      <c r="E350" s="3">
        <f>IF(A350="","",SUMIFS(Payments!$C$5:$C$504,Payments!$B$5:$B$504,A350))</f>
        <v/>
      </c>
      <c r="F350" s="9">
        <f>IF(A350="","",COUNTIFS(Payments!$B$5:$B$504,A350))</f>
        <v/>
      </c>
      <c r="G350" s="5">
        <f>IF(OR(A350="",F350=0),"",_xlfn.MAXIFS(Payments!$A$5:$A$504,Payments!$B$5:$B$504,A350))</f>
        <v/>
      </c>
      <c r="H350" s="14" t="n"/>
    </row>
    <row r="351">
      <c r="A351" s="14" t="n"/>
      <c r="B351" s="14" t="n"/>
      <c r="C351" s="14" t="n"/>
      <c r="D351" s="14" t="n"/>
      <c r="E351" s="3">
        <f>IF(A351="","",SUMIFS(Payments!$C$5:$C$504,Payments!$B$5:$B$504,A351))</f>
        <v/>
      </c>
      <c r="F351" s="9">
        <f>IF(A351="","",COUNTIFS(Payments!$B$5:$B$504,A351))</f>
        <v/>
      </c>
      <c r="G351" s="5">
        <f>IF(OR(A351="",F351=0),"",_xlfn.MAXIFS(Payments!$A$5:$A$504,Payments!$B$5:$B$504,A351))</f>
        <v/>
      </c>
      <c r="H351" s="14" t="n"/>
    </row>
    <row r="352">
      <c r="A352" s="14" t="n"/>
      <c r="B352" s="14" t="n"/>
      <c r="C352" s="14" t="n"/>
      <c r="D352" s="14" t="n"/>
      <c r="E352" s="3">
        <f>IF(A352="","",SUMIFS(Payments!$C$5:$C$504,Payments!$B$5:$B$504,A352))</f>
        <v/>
      </c>
      <c r="F352" s="9">
        <f>IF(A352="","",COUNTIFS(Payments!$B$5:$B$504,A352))</f>
        <v/>
      </c>
      <c r="G352" s="5">
        <f>IF(OR(A352="",F352=0),"",_xlfn.MAXIFS(Payments!$A$5:$A$504,Payments!$B$5:$B$504,A352))</f>
        <v/>
      </c>
      <c r="H352" s="14" t="n"/>
    </row>
    <row r="353">
      <c r="A353" s="14" t="n"/>
      <c r="B353" s="14" t="n"/>
      <c r="C353" s="14" t="n"/>
      <c r="D353" s="14" t="n"/>
      <c r="E353" s="3">
        <f>IF(A353="","",SUMIFS(Payments!$C$5:$C$504,Payments!$B$5:$B$504,A353))</f>
        <v/>
      </c>
      <c r="F353" s="9">
        <f>IF(A353="","",COUNTIFS(Payments!$B$5:$B$504,A353))</f>
        <v/>
      </c>
      <c r="G353" s="5">
        <f>IF(OR(A353="",F353=0),"",_xlfn.MAXIFS(Payments!$A$5:$A$504,Payments!$B$5:$B$504,A353))</f>
        <v/>
      </c>
      <c r="H353" s="14" t="n"/>
    </row>
    <row r="354">
      <c r="A354" s="14" t="n"/>
      <c r="B354" s="14" t="n"/>
      <c r="C354" s="14" t="n"/>
      <c r="D354" s="14" t="n"/>
      <c r="E354" s="3">
        <f>IF(A354="","",SUMIFS(Payments!$C$5:$C$504,Payments!$B$5:$B$504,A354))</f>
        <v/>
      </c>
      <c r="F354" s="9">
        <f>IF(A354="","",COUNTIFS(Payments!$B$5:$B$504,A354))</f>
        <v/>
      </c>
      <c r="G354" s="5">
        <f>IF(OR(A354="",F354=0),"",_xlfn.MAXIFS(Payments!$A$5:$A$504,Payments!$B$5:$B$504,A354))</f>
        <v/>
      </c>
      <c r="H354" s="14" t="n"/>
    </row>
    <row r="355">
      <c r="A355" s="14" t="n"/>
      <c r="B355" s="14" t="n"/>
      <c r="C355" s="14" t="n"/>
      <c r="D355" s="14" t="n"/>
      <c r="E355" s="3">
        <f>IF(A355="","",SUMIFS(Payments!$C$5:$C$504,Payments!$B$5:$B$504,A355))</f>
        <v/>
      </c>
      <c r="F355" s="9">
        <f>IF(A355="","",COUNTIFS(Payments!$B$5:$B$504,A355))</f>
        <v/>
      </c>
      <c r="G355" s="5">
        <f>IF(OR(A355="",F355=0),"",_xlfn.MAXIFS(Payments!$A$5:$A$504,Payments!$B$5:$B$504,A355))</f>
        <v/>
      </c>
      <c r="H355" s="14" t="n"/>
    </row>
    <row r="356">
      <c r="A356" s="14" t="n"/>
      <c r="B356" s="14" t="n"/>
      <c r="C356" s="14" t="n"/>
      <c r="D356" s="14" t="n"/>
      <c r="E356" s="3">
        <f>IF(A356="","",SUMIFS(Payments!$C$5:$C$504,Payments!$B$5:$B$504,A356))</f>
        <v/>
      </c>
      <c r="F356" s="9">
        <f>IF(A356="","",COUNTIFS(Payments!$B$5:$B$504,A356))</f>
        <v/>
      </c>
      <c r="G356" s="5">
        <f>IF(OR(A356="",F356=0),"",_xlfn.MAXIFS(Payments!$A$5:$A$504,Payments!$B$5:$B$504,A356))</f>
        <v/>
      </c>
      <c r="H356" s="14" t="n"/>
    </row>
    <row r="357">
      <c r="A357" s="14" t="n"/>
      <c r="B357" s="14" t="n"/>
      <c r="C357" s="14" t="n"/>
      <c r="D357" s="14" t="n"/>
      <c r="E357" s="3">
        <f>IF(A357="","",SUMIFS(Payments!$C$5:$C$504,Payments!$B$5:$B$504,A357))</f>
        <v/>
      </c>
      <c r="F357" s="9">
        <f>IF(A357="","",COUNTIFS(Payments!$B$5:$B$504,A357))</f>
        <v/>
      </c>
      <c r="G357" s="5">
        <f>IF(OR(A357="",F357=0),"",_xlfn.MAXIFS(Payments!$A$5:$A$504,Payments!$B$5:$B$504,A357))</f>
        <v/>
      </c>
      <c r="H357" s="14" t="n"/>
    </row>
    <row r="358">
      <c r="A358" s="14" t="n"/>
      <c r="B358" s="14" t="n"/>
      <c r="C358" s="14" t="n"/>
      <c r="D358" s="14" t="n"/>
      <c r="E358" s="3">
        <f>IF(A358="","",SUMIFS(Payments!$C$5:$C$504,Payments!$B$5:$B$504,A358))</f>
        <v/>
      </c>
      <c r="F358" s="9">
        <f>IF(A358="","",COUNTIFS(Payments!$B$5:$B$504,A358))</f>
        <v/>
      </c>
      <c r="G358" s="5">
        <f>IF(OR(A358="",F358=0),"",_xlfn.MAXIFS(Payments!$A$5:$A$504,Payments!$B$5:$B$504,A358))</f>
        <v/>
      </c>
      <c r="H358" s="14" t="n"/>
    </row>
    <row r="359">
      <c r="A359" s="14" t="n"/>
      <c r="B359" s="14" t="n"/>
      <c r="C359" s="14" t="n"/>
      <c r="D359" s="14" t="n"/>
      <c r="E359" s="3">
        <f>IF(A359="","",SUMIFS(Payments!$C$5:$C$504,Payments!$B$5:$B$504,A359))</f>
        <v/>
      </c>
      <c r="F359" s="9">
        <f>IF(A359="","",COUNTIFS(Payments!$B$5:$B$504,A359))</f>
        <v/>
      </c>
      <c r="G359" s="5">
        <f>IF(OR(A359="",F359=0),"",_xlfn.MAXIFS(Payments!$A$5:$A$504,Payments!$B$5:$B$504,A359))</f>
        <v/>
      </c>
      <c r="H359" s="14" t="n"/>
    </row>
    <row r="360">
      <c r="A360" s="14" t="n"/>
      <c r="B360" s="14" t="n"/>
      <c r="C360" s="14" t="n"/>
      <c r="D360" s="14" t="n"/>
      <c r="E360" s="3">
        <f>IF(A360="","",SUMIFS(Payments!$C$5:$C$504,Payments!$B$5:$B$504,A360))</f>
        <v/>
      </c>
      <c r="F360" s="9">
        <f>IF(A360="","",COUNTIFS(Payments!$B$5:$B$504,A360))</f>
        <v/>
      </c>
      <c r="G360" s="5">
        <f>IF(OR(A360="",F360=0),"",_xlfn.MAXIFS(Payments!$A$5:$A$504,Payments!$B$5:$B$504,A360))</f>
        <v/>
      </c>
      <c r="H360" s="14" t="n"/>
    </row>
    <row r="361">
      <c r="A361" s="14" t="n"/>
      <c r="B361" s="14" t="n"/>
      <c r="C361" s="14" t="n"/>
      <c r="D361" s="14" t="n"/>
      <c r="E361" s="3">
        <f>IF(A361="","",SUMIFS(Payments!$C$5:$C$504,Payments!$B$5:$B$504,A361))</f>
        <v/>
      </c>
      <c r="F361" s="9">
        <f>IF(A361="","",COUNTIFS(Payments!$B$5:$B$504,A361))</f>
        <v/>
      </c>
      <c r="G361" s="5">
        <f>IF(OR(A361="",F361=0),"",_xlfn.MAXIFS(Payments!$A$5:$A$504,Payments!$B$5:$B$504,A361))</f>
        <v/>
      </c>
      <c r="H361" s="14" t="n"/>
    </row>
    <row r="362">
      <c r="A362" s="14" t="n"/>
      <c r="B362" s="14" t="n"/>
      <c r="C362" s="14" t="n"/>
      <c r="D362" s="14" t="n"/>
      <c r="E362" s="3">
        <f>IF(A362="","",SUMIFS(Payments!$C$5:$C$504,Payments!$B$5:$B$504,A362))</f>
        <v/>
      </c>
      <c r="F362" s="9">
        <f>IF(A362="","",COUNTIFS(Payments!$B$5:$B$504,A362))</f>
        <v/>
      </c>
      <c r="G362" s="5">
        <f>IF(OR(A362="",F362=0),"",_xlfn.MAXIFS(Payments!$A$5:$A$504,Payments!$B$5:$B$504,A362))</f>
        <v/>
      </c>
      <c r="H362" s="14" t="n"/>
    </row>
    <row r="363">
      <c r="A363" s="14" t="n"/>
      <c r="B363" s="14" t="n"/>
      <c r="C363" s="14" t="n"/>
      <c r="D363" s="14" t="n"/>
      <c r="E363" s="3">
        <f>IF(A363="","",SUMIFS(Payments!$C$5:$C$504,Payments!$B$5:$B$504,A363))</f>
        <v/>
      </c>
      <c r="F363" s="9">
        <f>IF(A363="","",COUNTIFS(Payments!$B$5:$B$504,A363))</f>
        <v/>
      </c>
      <c r="G363" s="5">
        <f>IF(OR(A363="",F363=0),"",_xlfn.MAXIFS(Payments!$A$5:$A$504,Payments!$B$5:$B$504,A363))</f>
        <v/>
      </c>
      <c r="H363" s="14" t="n"/>
    </row>
    <row r="364">
      <c r="A364" s="14" t="n"/>
      <c r="B364" s="14" t="n"/>
      <c r="C364" s="14" t="n"/>
      <c r="D364" s="14" t="n"/>
      <c r="E364" s="3">
        <f>IF(A364="","",SUMIFS(Payments!$C$5:$C$504,Payments!$B$5:$B$504,A364))</f>
        <v/>
      </c>
      <c r="F364" s="9">
        <f>IF(A364="","",COUNTIFS(Payments!$B$5:$B$504,A364))</f>
        <v/>
      </c>
      <c r="G364" s="5">
        <f>IF(OR(A364="",F364=0),"",_xlfn.MAXIFS(Payments!$A$5:$A$504,Payments!$B$5:$B$504,A364))</f>
        <v/>
      </c>
      <c r="H364" s="14" t="n"/>
    </row>
    <row r="365">
      <c r="A365" s="14" t="n"/>
      <c r="B365" s="14" t="n"/>
      <c r="C365" s="14" t="n"/>
      <c r="D365" s="14" t="n"/>
      <c r="E365" s="3">
        <f>IF(A365="","",SUMIFS(Payments!$C$5:$C$504,Payments!$B$5:$B$504,A365))</f>
        <v/>
      </c>
      <c r="F365" s="9">
        <f>IF(A365="","",COUNTIFS(Payments!$B$5:$B$504,A365))</f>
        <v/>
      </c>
      <c r="G365" s="5">
        <f>IF(OR(A365="",F365=0),"",_xlfn.MAXIFS(Payments!$A$5:$A$504,Payments!$B$5:$B$504,A365))</f>
        <v/>
      </c>
      <c r="H365" s="14" t="n"/>
    </row>
    <row r="366">
      <c r="A366" s="14" t="n"/>
      <c r="B366" s="14" t="n"/>
      <c r="C366" s="14" t="n"/>
      <c r="D366" s="14" t="n"/>
      <c r="E366" s="3">
        <f>IF(A366="","",SUMIFS(Payments!$C$5:$C$504,Payments!$B$5:$B$504,A366))</f>
        <v/>
      </c>
      <c r="F366" s="9">
        <f>IF(A366="","",COUNTIFS(Payments!$B$5:$B$504,A366))</f>
        <v/>
      </c>
      <c r="G366" s="5">
        <f>IF(OR(A366="",F366=0),"",_xlfn.MAXIFS(Payments!$A$5:$A$504,Payments!$B$5:$B$504,A366))</f>
        <v/>
      </c>
      <c r="H366" s="14" t="n"/>
    </row>
    <row r="367">
      <c r="A367" s="14" t="n"/>
      <c r="B367" s="14" t="n"/>
      <c r="C367" s="14" t="n"/>
      <c r="D367" s="14" t="n"/>
      <c r="E367" s="3">
        <f>IF(A367="","",SUMIFS(Payments!$C$5:$C$504,Payments!$B$5:$B$504,A367))</f>
        <v/>
      </c>
      <c r="F367" s="9">
        <f>IF(A367="","",COUNTIFS(Payments!$B$5:$B$504,A367))</f>
        <v/>
      </c>
      <c r="G367" s="5">
        <f>IF(OR(A367="",F367=0),"",_xlfn.MAXIFS(Payments!$A$5:$A$504,Payments!$B$5:$B$504,A367))</f>
        <v/>
      </c>
      <c r="H367" s="14" t="n"/>
    </row>
    <row r="368">
      <c r="A368" s="14" t="n"/>
      <c r="B368" s="14" t="n"/>
      <c r="C368" s="14" t="n"/>
      <c r="D368" s="14" t="n"/>
      <c r="E368" s="3">
        <f>IF(A368="","",SUMIFS(Payments!$C$5:$C$504,Payments!$B$5:$B$504,A368))</f>
        <v/>
      </c>
      <c r="F368" s="9">
        <f>IF(A368="","",COUNTIFS(Payments!$B$5:$B$504,A368))</f>
        <v/>
      </c>
      <c r="G368" s="5">
        <f>IF(OR(A368="",F368=0),"",_xlfn.MAXIFS(Payments!$A$5:$A$504,Payments!$B$5:$B$504,A368))</f>
        <v/>
      </c>
      <c r="H368" s="14" t="n"/>
    </row>
    <row r="369">
      <c r="A369" s="14" t="n"/>
      <c r="B369" s="14" t="n"/>
      <c r="C369" s="14" t="n"/>
      <c r="D369" s="14" t="n"/>
      <c r="E369" s="3">
        <f>IF(A369="","",SUMIFS(Payments!$C$5:$C$504,Payments!$B$5:$B$504,A369))</f>
        <v/>
      </c>
      <c r="F369" s="9">
        <f>IF(A369="","",COUNTIFS(Payments!$B$5:$B$504,A369))</f>
        <v/>
      </c>
      <c r="G369" s="5">
        <f>IF(OR(A369="",F369=0),"",_xlfn.MAXIFS(Payments!$A$5:$A$504,Payments!$B$5:$B$504,A369))</f>
        <v/>
      </c>
      <c r="H369" s="14" t="n"/>
    </row>
    <row r="370">
      <c r="A370" s="14" t="n"/>
      <c r="B370" s="14" t="n"/>
      <c r="C370" s="14" t="n"/>
      <c r="D370" s="14" t="n"/>
      <c r="E370" s="3">
        <f>IF(A370="","",SUMIFS(Payments!$C$5:$C$504,Payments!$B$5:$B$504,A370))</f>
        <v/>
      </c>
      <c r="F370" s="9">
        <f>IF(A370="","",COUNTIFS(Payments!$B$5:$B$504,A370))</f>
        <v/>
      </c>
      <c r="G370" s="5">
        <f>IF(OR(A370="",F370=0),"",_xlfn.MAXIFS(Payments!$A$5:$A$504,Payments!$B$5:$B$504,A370))</f>
        <v/>
      </c>
      <c r="H370" s="14" t="n"/>
    </row>
    <row r="371">
      <c r="A371" s="14" t="n"/>
      <c r="B371" s="14" t="n"/>
      <c r="C371" s="14" t="n"/>
      <c r="D371" s="14" t="n"/>
      <c r="E371" s="3">
        <f>IF(A371="","",SUMIFS(Payments!$C$5:$C$504,Payments!$B$5:$B$504,A371))</f>
        <v/>
      </c>
      <c r="F371" s="9">
        <f>IF(A371="","",COUNTIFS(Payments!$B$5:$B$504,A371))</f>
        <v/>
      </c>
      <c r="G371" s="5">
        <f>IF(OR(A371="",F371=0),"",_xlfn.MAXIFS(Payments!$A$5:$A$504,Payments!$B$5:$B$504,A371))</f>
        <v/>
      </c>
      <c r="H371" s="14" t="n"/>
    </row>
    <row r="372">
      <c r="A372" s="14" t="n"/>
      <c r="B372" s="14" t="n"/>
      <c r="C372" s="14" t="n"/>
      <c r="D372" s="14" t="n"/>
      <c r="E372" s="3">
        <f>IF(A372="","",SUMIFS(Payments!$C$5:$C$504,Payments!$B$5:$B$504,A372))</f>
        <v/>
      </c>
      <c r="F372" s="9">
        <f>IF(A372="","",COUNTIFS(Payments!$B$5:$B$504,A372))</f>
        <v/>
      </c>
      <c r="G372" s="5">
        <f>IF(OR(A372="",F372=0),"",_xlfn.MAXIFS(Payments!$A$5:$A$504,Payments!$B$5:$B$504,A372))</f>
        <v/>
      </c>
      <c r="H372" s="14" t="n"/>
    </row>
    <row r="373">
      <c r="A373" s="14" t="n"/>
      <c r="B373" s="14" t="n"/>
      <c r="C373" s="14" t="n"/>
      <c r="D373" s="14" t="n"/>
      <c r="E373" s="3">
        <f>IF(A373="","",SUMIFS(Payments!$C$5:$C$504,Payments!$B$5:$B$504,A373))</f>
        <v/>
      </c>
      <c r="F373" s="9">
        <f>IF(A373="","",COUNTIFS(Payments!$B$5:$B$504,A373))</f>
        <v/>
      </c>
      <c r="G373" s="5">
        <f>IF(OR(A373="",F373=0),"",_xlfn.MAXIFS(Payments!$A$5:$A$504,Payments!$B$5:$B$504,A373))</f>
        <v/>
      </c>
      <c r="H373" s="14" t="n"/>
    </row>
    <row r="374">
      <c r="A374" s="14" t="n"/>
      <c r="B374" s="14" t="n"/>
      <c r="C374" s="14" t="n"/>
      <c r="D374" s="14" t="n"/>
      <c r="E374" s="3">
        <f>IF(A374="","",SUMIFS(Payments!$C$5:$C$504,Payments!$B$5:$B$504,A374))</f>
        <v/>
      </c>
      <c r="F374" s="9">
        <f>IF(A374="","",COUNTIFS(Payments!$B$5:$B$504,A374))</f>
        <v/>
      </c>
      <c r="G374" s="5">
        <f>IF(OR(A374="",F374=0),"",_xlfn.MAXIFS(Payments!$A$5:$A$504,Payments!$B$5:$B$504,A374))</f>
        <v/>
      </c>
      <c r="H374" s="14" t="n"/>
    </row>
    <row r="375">
      <c r="A375" s="14" t="n"/>
      <c r="B375" s="14" t="n"/>
      <c r="C375" s="14" t="n"/>
      <c r="D375" s="14" t="n"/>
      <c r="E375" s="3">
        <f>IF(A375="","",SUMIFS(Payments!$C$5:$C$504,Payments!$B$5:$B$504,A375))</f>
        <v/>
      </c>
      <c r="F375" s="9">
        <f>IF(A375="","",COUNTIFS(Payments!$B$5:$B$504,A375))</f>
        <v/>
      </c>
      <c r="G375" s="5">
        <f>IF(OR(A375="",F375=0),"",_xlfn.MAXIFS(Payments!$A$5:$A$504,Payments!$B$5:$B$504,A375))</f>
        <v/>
      </c>
      <c r="H375" s="14" t="n"/>
    </row>
    <row r="376">
      <c r="A376" s="14" t="n"/>
      <c r="B376" s="14" t="n"/>
      <c r="C376" s="14" t="n"/>
      <c r="D376" s="14" t="n"/>
      <c r="E376" s="3">
        <f>IF(A376="","",SUMIFS(Payments!$C$5:$C$504,Payments!$B$5:$B$504,A376))</f>
        <v/>
      </c>
      <c r="F376" s="9">
        <f>IF(A376="","",COUNTIFS(Payments!$B$5:$B$504,A376))</f>
        <v/>
      </c>
      <c r="G376" s="5">
        <f>IF(OR(A376="",F376=0),"",_xlfn.MAXIFS(Payments!$A$5:$A$504,Payments!$B$5:$B$504,A376))</f>
        <v/>
      </c>
      <c r="H376" s="14" t="n"/>
    </row>
    <row r="377">
      <c r="A377" s="14" t="n"/>
      <c r="B377" s="14" t="n"/>
      <c r="C377" s="14" t="n"/>
      <c r="D377" s="14" t="n"/>
      <c r="E377" s="3">
        <f>IF(A377="","",SUMIFS(Payments!$C$5:$C$504,Payments!$B$5:$B$504,A377))</f>
        <v/>
      </c>
      <c r="F377" s="9">
        <f>IF(A377="","",COUNTIFS(Payments!$B$5:$B$504,A377))</f>
        <v/>
      </c>
      <c r="G377" s="5">
        <f>IF(OR(A377="",F377=0),"",_xlfn.MAXIFS(Payments!$A$5:$A$504,Payments!$B$5:$B$504,A377))</f>
        <v/>
      </c>
      <c r="H377" s="14" t="n"/>
    </row>
    <row r="378">
      <c r="A378" s="14" t="n"/>
      <c r="B378" s="14" t="n"/>
      <c r="C378" s="14" t="n"/>
      <c r="D378" s="14" t="n"/>
      <c r="E378" s="3">
        <f>IF(A378="","",SUMIFS(Payments!$C$5:$C$504,Payments!$B$5:$B$504,A378))</f>
        <v/>
      </c>
      <c r="F378" s="9">
        <f>IF(A378="","",COUNTIFS(Payments!$B$5:$B$504,A378))</f>
        <v/>
      </c>
      <c r="G378" s="5">
        <f>IF(OR(A378="",F378=0),"",_xlfn.MAXIFS(Payments!$A$5:$A$504,Payments!$B$5:$B$504,A378))</f>
        <v/>
      </c>
      <c r="H378" s="14" t="n"/>
    </row>
    <row r="379">
      <c r="A379" s="14" t="n"/>
      <c r="B379" s="14" t="n"/>
      <c r="C379" s="14" t="n"/>
      <c r="D379" s="14" t="n"/>
      <c r="E379" s="3">
        <f>IF(A379="","",SUMIFS(Payments!$C$5:$C$504,Payments!$B$5:$B$504,A379))</f>
        <v/>
      </c>
      <c r="F379" s="9">
        <f>IF(A379="","",COUNTIFS(Payments!$B$5:$B$504,A379))</f>
        <v/>
      </c>
      <c r="G379" s="5">
        <f>IF(OR(A379="",F379=0),"",_xlfn.MAXIFS(Payments!$A$5:$A$504,Payments!$B$5:$B$504,A379))</f>
        <v/>
      </c>
      <c r="H379" s="14" t="n"/>
    </row>
    <row r="380">
      <c r="A380" s="14" t="n"/>
      <c r="B380" s="14" t="n"/>
      <c r="C380" s="14" t="n"/>
      <c r="D380" s="14" t="n"/>
      <c r="E380" s="3">
        <f>IF(A380="","",SUMIFS(Payments!$C$5:$C$504,Payments!$B$5:$B$504,A380))</f>
        <v/>
      </c>
      <c r="F380" s="9">
        <f>IF(A380="","",COUNTIFS(Payments!$B$5:$B$504,A380))</f>
        <v/>
      </c>
      <c r="G380" s="5">
        <f>IF(OR(A380="",F380=0),"",_xlfn.MAXIFS(Payments!$A$5:$A$504,Payments!$B$5:$B$504,A380))</f>
        <v/>
      </c>
      <c r="H380" s="14" t="n"/>
    </row>
    <row r="381">
      <c r="A381" s="14" t="n"/>
      <c r="B381" s="14" t="n"/>
      <c r="C381" s="14" t="n"/>
      <c r="D381" s="14" t="n"/>
      <c r="E381" s="3">
        <f>IF(A381="","",SUMIFS(Payments!$C$5:$C$504,Payments!$B$5:$B$504,A381))</f>
        <v/>
      </c>
      <c r="F381" s="9">
        <f>IF(A381="","",COUNTIFS(Payments!$B$5:$B$504,A381))</f>
        <v/>
      </c>
      <c r="G381" s="5">
        <f>IF(OR(A381="",F381=0),"",_xlfn.MAXIFS(Payments!$A$5:$A$504,Payments!$B$5:$B$504,A381))</f>
        <v/>
      </c>
      <c r="H381" s="14" t="n"/>
    </row>
    <row r="382">
      <c r="A382" s="14" t="n"/>
      <c r="B382" s="14" t="n"/>
      <c r="C382" s="14" t="n"/>
      <c r="D382" s="14" t="n"/>
      <c r="E382" s="3">
        <f>IF(A382="","",SUMIFS(Payments!$C$5:$C$504,Payments!$B$5:$B$504,A382))</f>
        <v/>
      </c>
      <c r="F382" s="9">
        <f>IF(A382="","",COUNTIFS(Payments!$B$5:$B$504,A382))</f>
        <v/>
      </c>
      <c r="G382" s="5">
        <f>IF(OR(A382="",F382=0),"",_xlfn.MAXIFS(Payments!$A$5:$A$504,Payments!$B$5:$B$504,A382))</f>
        <v/>
      </c>
      <c r="H382" s="14" t="n"/>
    </row>
    <row r="383">
      <c r="A383" s="14" t="n"/>
      <c r="B383" s="14" t="n"/>
      <c r="C383" s="14" t="n"/>
      <c r="D383" s="14" t="n"/>
      <c r="E383" s="3">
        <f>IF(A383="","",SUMIFS(Payments!$C$5:$C$504,Payments!$B$5:$B$504,A383))</f>
        <v/>
      </c>
      <c r="F383" s="9">
        <f>IF(A383="","",COUNTIFS(Payments!$B$5:$B$504,A383))</f>
        <v/>
      </c>
      <c r="G383" s="5">
        <f>IF(OR(A383="",F383=0),"",_xlfn.MAXIFS(Payments!$A$5:$A$504,Payments!$B$5:$B$504,A383))</f>
        <v/>
      </c>
      <c r="H383" s="14" t="n"/>
    </row>
    <row r="384">
      <c r="A384" s="14" t="n"/>
      <c r="B384" s="14" t="n"/>
      <c r="C384" s="14" t="n"/>
      <c r="D384" s="14" t="n"/>
      <c r="E384" s="3">
        <f>IF(A384="","",SUMIFS(Payments!$C$5:$C$504,Payments!$B$5:$B$504,A384))</f>
        <v/>
      </c>
      <c r="F384" s="9">
        <f>IF(A384="","",COUNTIFS(Payments!$B$5:$B$504,A384))</f>
        <v/>
      </c>
      <c r="G384" s="5">
        <f>IF(OR(A384="",F384=0),"",_xlfn.MAXIFS(Payments!$A$5:$A$504,Payments!$B$5:$B$504,A384))</f>
        <v/>
      </c>
      <c r="H384" s="14" t="n"/>
    </row>
    <row r="385">
      <c r="A385" s="14" t="n"/>
      <c r="B385" s="14" t="n"/>
      <c r="C385" s="14" t="n"/>
      <c r="D385" s="14" t="n"/>
      <c r="E385" s="3">
        <f>IF(A385="","",SUMIFS(Payments!$C$5:$C$504,Payments!$B$5:$B$504,A385))</f>
        <v/>
      </c>
      <c r="F385" s="9">
        <f>IF(A385="","",COUNTIFS(Payments!$B$5:$B$504,A385))</f>
        <v/>
      </c>
      <c r="G385" s="5">
        <f>IF(OR(A385="",F385=0),"",_xlfn.MAXIFS(Payments!$A$5:$A$504,Payments!$B$5:$B$504,A385))</f>
        <v/>
      </c>
      <c r="H385" s="14" t="n"/>
    </row>
    <row r="386">
      <c r="A386" s="14" t="n"/>
      <c r="B386" s="14" t="n"/>
      <c r="C386" s="14" t="n"/>
      <c r="D386" s="14" t="n"/>
      <c r="E386" s="3">
        <f>IF(A386="","",SUMIFS(Payments!$C$5:$C$504,Payments!$B$5:$B$504,A386))</f>
        <v/>
      </c>
      <c r="F386" s="9">
        <f>IF(A386="","",COUNTIFS(Payments!$B$5:$B$504,A386))</f>
        <v/>
      </c>
      <c r="G386" s="5">
        <f>IF(OR(A386="",F386=0),"",_xlfn.MAXIFS(Payments!$A$5:$A$504,Payments!$B$5:$B$504,A386))</f>
        <v/>
      </c>
      <c r="H386" s="14" t="n"/>
    </row>
    <row r="387">
      <c r="A387" s="14" t="n"/>
      <c r="B387" s="14" t="n"/>
      <c r="C387" s="14" t="n"/>
      <c r="D387" s="14" t="n"/>
      <c r="E387" s="3">
        <f>IF(A387="","",SUMIFS(Payments!$C$5:$C$504,Payments!$B$5:$B$504,A387))</f>
        <v/>
      </c>
      <c r="F387" s="9">
        <f>IF(A387="","",COUNTIFS(Payments!$B$5:$B$504,A387))</f>
        <v/>
      </c>
      <c r="G387" s="5">
        <f>IF(OR(A387="",F387=0),"",_xlfn.MAXIFS(Payments!$A$5:$A$504,Payments!$B$5:$B$504,A387))</f>
        <v/>
      </c>
      <c r="H387" s="14" t="n"/>
    </row>
    <row r="388">
      <c r="A388" s="14" t="n"/>
      <c r="B388" s="14" t="n"/>
      <c r="C388" s="14" t="n"/>
      <c r="D388" s="14" t="n"/>
      <c r="E388" s="3">
        <f>IF(A388="","",SUMIFS(Payments!$C$5:$C$504,Payments!$B$5:$B$504,A388))</f>
        <v/>
      </c>
      <c r="F388" s="9">
        <f>IF(A388="","",COUNTIFS(Payments!$B$5:$B$504,A388))</f>
        <v/>
      </c>
      <c r="G388" s="5">
        <f>IF(OR(A388="",F388=0),"",_xlfn.MAXIFS(Payments!$A$5:$A$504,Payments!$B$5:$B$504,A388))</f>
        <v/>
      </c>
      <c r="H388" s="14" t="n"/>
    </row>
    <row r="389">
      <c r="A389" s="14" t="n"/>
      <c r="B389" s="14" t="n"/>
      <c r="C389" s="14" t="n"/>
      <c r="D389" s="14" t="n"/>
      <c r="E389" s="3">
        <f>IF(A389="","",SUMIFS(Payments!$C$5:$C$504,Payments!$B$5:$B$504,A389))</f>
        <v/>
      </c>
      <c r="F389" s="9">
        <f>IF(A389="","",COUNTIFS(Payments!$B$5:$B$504,A389))</f>
        <v/>
      </c>
      <c r="G389" s="5">
        <f>IF(OR(A389="",F389=0),"",_xlfn.MAXIFS(Payments!$A$5:$A$504,Payments!$B$5:$B$504,A389))</f>
        <v/>
      </c>
      <c r="H389" s="14" t="n"/>
    </row>
    <row r="390">
      <c r="A390" s="14" t="n"/>
      <c r="B390" s="14" t="n"/>
      <c r="C390" s="14" t="n"/>
      <c r="D390" s="14" t="n"/>
      <c r="E390" s="3">
        <f>IF(A390="","",SUMIFS(Payments!$C$5:$C$504,Payments!$B$5:$B$504,A390))</f>
        <v/>
      </c>
      <c r="F390" s="9">
        <f>IF(A390="","",COUNTIFS(Payments!$B$5:$B$504,A390))</f>
        <v/>
      </c>
      <c r="G390" s="5">
        <f>IF(OR(A390="",F390=0),"",_xlfn.MAXIFS(Payments!$A$5:$A$504,Payments!$B$5:$B$504,A390))</f>
        <v/>
      </c>
      <c r="H390" s="14" t="n"/>
    </row>
    <row r="391">
      <c r="A391" s="14" t="n"/>
      <c r="B391" s="14" t="n"/>
      <c r="C391" s="14" t="n"/>
      <c r="D391" s="14" t="n"/>
      <c r="E391" s="3">
        <f>IF(A391="","",SUMIFS(Payments!$C$5:$C$504,Payments!$B$5:$B$504,A391))</f>
        <v/>
      </c>
      <c r="F391" s="9">
        <f>IF(A391="","",COUNTIFS(Payments!$B$5:$B$504,A391))</f>
        <v/>
      </c>
      <c r="G391" s="5">
        <f>IF(OR(A391="",F391=0),"",_xlfn.MAXIFS(Payments!$A$5:$A$504,Payments!$B$5:$B$504,A391))</f>
        <v/>
      </c>
      <c r="H391" s="14" t="n"/>
    </row>
    <row r="392">
      <c r="A392" s="14" t="n"/>
      <c r="B392" s="14" t="n"/>
      <c r="C392" s="14" t="n"/>
      <c r="D392" s="14" t="n"/>
      <c r="E392" s="3">
        <f>IF(A392="","",SUMIFS(Payments!$C$5:$C$504,Payments!$B$5:$B$504,A392))</f>
        <v/>
      </c>
      <c r="F392" s="9">
        <f>IF(A392="","",COUNTIFS(Payments!$B$5:$B$504,A392))</f>
        <v/>
      </c>
      <c r="G392" s="5">
        <f>IF(OR(A392="",F392=0),"",_xlfn.MAXIFS(Payments!$A$5:$A$504,Payments!$B$5:$B$504,A392))</f>
        <v/>
      </c>
      <c r="H392" s="14" t="n"/>
    </row>
    <row r="393">
      <c r="A393" s="14" t="n"/>
      <c r="B393" s="14" t="n"/>
      <c r="C393" s="14" t="n"/>
      <c r="D393" s="14" t="n"/>
      <c r="E393" s="3">
        <f>IF(A393="","",SUMIFS(Payments!$C$5:$C$504,Payments!$B$5:$B$504,A393))</f>
        <v/>
      </c>
      <c r="F393" s="9">
        <f>IF(A393="","",COUNTIFS(Payments!$B$5:$B$504,A393))</f>
        <v/>
      </c>
      <c r="G393" s="5">
        <f>IF(OR(A393="",F393=0),"",_xlfn.MAXIFS(Payments!$A$5:$A$504,Payments!$B$5:$B$504,A393))</f>
        <v/>
      </c>
      <c r="H393" s="14" t="n"/>
    </row>
    <row r="394">
      <c r="A394" s="14" t="n"/>
      <c r="B394" s="14" t="n"/>
      <c r="C394" s="14" t="n"/>
      <c r="D394" s="14" t="n"/>
      <c r="E394" s="3">
        <f>IF(A394="","",SUMIFS(Payments!$C$5:$C$504,Payments!$B$5:$B$504,A394))</f>
        <v/>
      </c>
      <c r="F394" s="9">
        <f>IF(A394="","",COUNTIFS(Payments!$B$5:$B$504,A394))</f>
        <v/>
      </c>
      <c r="G394" s="5">
        <f>IF(OR(A394="",F394=0),"",_xlfn.MAXIFS(Payments!$A$5:$A$504,Payments!$B$5:$B$504,A394))</f>
        <v/>
      </c>
      <c r="H394" s="14" t="n"/>
    </row>
    <row r="395">
      <c r="A395" s="14" t="n"/>
      <c r="B395" s="14" t="n"/>
      <c r="C395" s="14" t="n"/>
      <c r="D395" s="14" t="n"/>
      <c r="E395" s="3">
        <f>IF(A395="","",SUMIFS(Payments!$C$5:$C$504,Payments!$B$5:$B$504,A395))</f>
        <v/>
      </c>
      <c r="F395" s="9">
        <f>IF(A395="","",COUNTIFS(Payments!$B$5:$B$504,A395))</f>
        <v/>
      </c>
      <c r="G395" s="5">
        <f>IF(OR(A395="",F395=0),"",_xlfn.MAXIFS(Payments!$A$5:$A$504,Payments!$B$5:$B$504,A395))</f>
        <v/>
      </c>
      <c r="H395" s="14" t="n"/>
    </row>
    <row r="396">
      <c r="A396" s="14" t="n"/>
      <c r="B396" s="14" t="n"/>
      <c r="C396" s="14" t="n"/>
      <c r="D396" s="14" t="n"/>
      <c r="E396" s="3">
        <f>IF(A396="","",SUMIFS(Payments!$C$5:$C$504,Payments!$B$5:$B$504,A396))</f>
        <v/>
      </c>
      <c r="F396" s="9">
        <f>IF(A396="","",COUNTIFS(Payments!$B$5:$B$504,A396))</f>
        <v/>
      </c>
      <c r="G396" s="5">
        <f>IF(OR(A396="",F396=0),"",_xlfn.MAXIFS(Payments!$A$5:$A$504,Payments!$B$5:$B$504,A396))</f>
        <v/>
      </c>
      <c r="H396" s="14" t="n"/>
    </row>
    <row r="397">
      <c r="A397" s="14" t="n"/>
      <c r="B397" s="14" t="n"/>
      <c r="C397" s="14" t="n"/>
      <c r="D397" s="14" t="n"/>
      <c r="E397" s="3">
        <f>IF(A397="","",SUMIFS(Payments!$C$5:$C$504,Payments!$B$5:$B$504,A397))</f>
        <v/>
      </c>
      <c r="F397" s="9">
        <f>IF(A397="","",COUNTIFS(Payments!$B$5:$B$504,A397))</f>
        <v/>
      </c>
      <c r="G397" s="5">
        <f>IF(OR(A397="",F397=0),"",_xlfn.MAXIFS(Payments!$A$5:$A$504,Payments!$B$5:$B$504,A397))</f>
        <v/>
      </c>
      <c r="H397" s="14" t="n"/>
    </row>
    <row r="398">
      <c r="A398" s="14" t="n"/>
      <c r="B398" s="14" t="n"/>
      <c r="C398" s="14" t="n"/>
      <c r="D398" s="14" t="n"/>
      <c r="E398" s="3">
        <f>IF(A398="","",SUMIFS(Payments!$C$5:$C$504,Payments!$B$5:$B$504,A398))</f>
        <v/>
      </c>
      <c r="F398" s="9">
        <f>IF(A398="","",COUNTIFS(Payments!$B$5:$B$504,A398))</f>
        <v/>
      </c>
      <c r="G398" s="5">
        <f>IF(OR(A398="",F398=0),"",_xlfn.MAXIFS(Payments!$A$5:$A$504,Payments!$B$5:$B$504,A398))</f>
        <v/>
      </c>
      <c r="H398" s="14" t="n"/>
    </row>
    <row r="399">
      <c r="A399" s="14" t="n"/>
      <c r="B399" s="14" t="n"/>
      <c r="C399" s="14" t="n"/>
      <c r="D399" s="14" t="n"/>
      <c r="E399" s="3">
        <f>IF(A399="","",SUMIFS(Payments!$C$5:$C$504,Payments!$B$5:$B$504,A399))</f>
        <v/>
      </c>
      <c r="F399" s="9">
        <f>IF(A399="","",COUNTIFS(Payments!$B$5:$B$504,A399))</f>
        <v/>
      </c>
      <c r="G399" s="5">
        <f>IF(OR(A399="",F399=0),"",_xlfn.MAXIFS(Payments!$A$5:$A$504,Payments!$B$5:$B$504,A399))</f>
        <v/>
      </c>
      <c r="H399" s="14" t="n"/>
    </row>
    <row r="400">
      <c r="A400" s="14" t="n"/>
      <c r="B400" s="14" t="n"/>
      <c r="C400" s="14" t="n"/>
      <c r="D400" s="14" t="n"/>
      <c r="E400" s="3">
        <f>IF(A400="","",SUMIFS(Payments!$C$5:$C$504,Payments!$B$5:$B$504,A400))</f>
        <v/>
      </c>
      <c r="F400" s="9">
        <f>IF(A400="","",COUNTIFS(Payments!$B$5:$B$504,A400))</f>
        <v/>
      </c>
      <c r="G400" s="5">
        <f>IF(OR(A400="",F400=0),"",_xlfn.MAXIFS(Payments!$A$5:$A$504,Payments!$B$5:$B$504,A400))</f>
        <v/>
      </c>
      <c r="H400" s="14" t="n"/>
    </row>
    <row r="401">
      <c r="A401" s="14" t="n"/>
      <c r="B401" s="14" t="n"/>
      <c r="C401" s="14" t="n"/>
      <c r="D401" s="14" t="n"/>
      <c r="E401" s="3">
        <f>IF(A401="","",SUMIFS(Payments!$C$5:$C$504,Payments!$B$5:$B$504,A401))</f>
        <v/>
      </c>
      <c r="F401" s="9">
        <f>IF(A401="","",COUNTIFS(Payments!$B$5:$B$504,A401))</f>
        <v/>
      </c>
      <c r="G401" s="5">
        <f>IF(OR(A401="",F401=0),"",_xlfn.MAXIFS(Payments!$A$5:$A$504,Payments!$B$5:$B$504,A401))</f>
        <v/>
      </c>
      <c r="H401" s="14" t="n"/>
    </row>
    <row r="402">
      <c r="A402" s="14" t="n"/>
      <c r="B402" s="14" t="n"/>
      <c r="C402" s="14" t="n"/>
      <c r="D402" s="14" t="n"/>
      <c r="E402" s="3">
        <f>IF(A402="","",SUMIFS(Payments!$C$5:$C$504,Payments!$B$5:$B$504,A402))</f>
        <v/>
      </c>
      <c r="F402" s="9">
        <f>IF(A402="","",COUNTIFS(Payments!$B$5:$B$504,A402))</f>
        <v/>
      </c>
      <c r="G402" s="5">
        <f>IF(OR(A402="",F402=0),"",_xlfn.MAXIFS(Payments!$A$5:$A$504,Payments!$B$5:$B$504,A402))</f>
        <v/>
      </c>
      <c r="H402" s="14" t="n"/>
    </row>
    <row r="403">
      <c r="A403" s="14" t="n"/>
      <c r="B403" s="14" t="n"/>
      <c r="C403" s="14" t="n"/>
      <c r="D403" s="14" t="n"/>
      <c r="E403" s="3">
        <f>IF(A403="","",SUMIFS(Payments!$C$5:$C$504,Payments!$B$5:$B$504,A403))</f>
        <v/>
      </c>
      <c r="F403" s="9">
        <f>IF(A403="","",COUNTIFS(Payments!$B$5:$B$504,A403))</f>
        <v/>
      </c>
      <c r="G403" s="5">
        <f>IF(OR(A403="",F403=0),"",_xlfn.MAXIFS(Payments!$A$5:$A$504,Payments!$B$5:$B$504,A403))</f>
        <v/>
      </c>
      <c r="H403" s="14" t="n"/>
    </row>
    <row r="404">
      <c r="A404" s="14" t="n"/>
      <c r="B404" s="14" t="n"/>
      <c r="C404" s="14" t="n"/>
      <c r="D404" s="14" t="n"/>
      <c r="E404" s="3">
        <f>IF(A404="","",SUMIFS(Payments!$C$5:$C$504,Payments!$B$5:$B$504,A404))</f>
        <v/>
      </c>
      <c r="F404" s="9">
        <f>IF(A404="","",COUNTIFS(Payments!$B$5:$B$504,A404))</f>
        <v/>
      </c>
      <c r="G404" s="5">
        <f>IF(OR(A404="",F404=0),"",_xlfn.MAXIFS(Payments!$A$5:$A$504,Payments!$B$5:$B$504,A404))</f>
        <v/>
      </c>
      <c r="H404" s="14" t="n"/>
    </row>
    <row r="405">
      <c r="A405" s="14" t="n"/>
      <c r="B405" s="14" t="n"/>
      <c r="C405" s="14" t="n"/>
      <c r="D405" s="14" t="n"/>
      <c r="E405" s="3">
        <f>IF(A405="","",SUMIFS(Payments!$C$5:$C$504,Payments!$B$5:$B$504,A405))</f>
        <v/>
      </c>
      <c r="F405" s="9">
        <f>IF(A405="","",COUNTIFS(Payments!$B$5:$B$504,A405))</f>
        <v/>
      </c>
      <c r="G405" s="5">
        <f>IF(OR(A405="",F405=0),"",_xlfn.MAXIFS(Payments!$A$5:$A$504,Payments!$B$5:$B$504,A405))</f>
        <v/>
      </c>
      <c r="H405" s="14" t="n"/>
    </row>
    <row r="406">
      <c r="A406" s="14" t="n"/>
      <c r="B406" s="14" t="n"/>
      <c r="C406" s="14" t="n"/>
      <c r="D406" s="14" t="n"/>
      <c r="E406" s="3">
        <f>IF(A406="","",SUMIFS(Payments!$C$5:$C$504,Payments!$B$5:$B$504,A406))</f>
        <v/>
      </c>
      <c r="F406" s="9">
        <f>IF(A406="","",COUNTIFS(Payments!$B$5:$B$504,A406))</f>
        <v/>
      </c>
      <c r="G406" s="5">
        <f>IF(OR(A406="",F406=0),"",_xlfn.MAXIFS(Payments!$A$5:$A$504,Payments!$B$5:$B$504,A406))</f>
        <v/>
      </c>
      <c r="H406" s="14" t="n"/>
    </row>
    <row r="407">
      <c r="A407" s="14" t="n"/>
      <c r="B407" s="14" t="n"/>
      <c r="C407" s="14" t="n"/>
      <c r="D407" s="14" t="n"/>
      <c r="E407" s="3">
        <f>IF(A407="","",SUMIFS(Payments!$C$5:$C$504,Payments!$B$5:$B$504,A407))</f>
        <v/>
      </c>
      <c r="F407" s="9">
        <f>IF(A407="","",COUNTIFS(Payments!$B$5:$B$504,A407))</f>
        <v/>
      </c>
      <c r="G407" s="5">
        <f>IF(OR(A407="",F407=0),"",_xlfn.MAXIFS(Payments!$A$5:$A$504,Payments!$B$5:$B$504,A407))</f>
        <v/>
      </c>
      <c r="H407" s="14" t="n"/>
    </row>
    <row r="408">
      <c r="A408" s="14" t="n"/>
      <c r="B408" s="14" t="n"/>
      <c r="C408" s="14" t="n"/>
      <c r="D408" s="14" t="n"/>
      <c r="E408" s="3">
        <f>IF(A408="","",SUMIFS(Payments!$C$5:$C$504,Payments!$B$5:$B$504,A408))</f>
        <v/>
      </c>
      <c r="F408" s="9">
        <f>IF(A408="","",COUNTIFS(Payments!$B$5:$B$504,A408))</f>
        <v/>
      </c>
      <c r="G408" s="5">
        <f>IF(OR(A408="",F408=0),"",_xlfn.MAXIFS(Payments!$A$5:$A$504,Payments!$B$5:$B$504,A408))</f>
        <v/>
      </c>
      <c r="H408" s="14" t="n"/>
    </row>
    <row r="409">
      <c r="A409" s="14" t="n"/>
      <c r="B409" s="14" t="n"/>
      <c r="C409" s="14" t="n"/>
      <c r="D409" s="14" t="n"/>
      <c r="E409" s="3">
        <f>IF(A409="","",SUMIFS(Payments!$C$5:$C$504,Payments!$B$5:$B$504,A409))</f>
        <v/>
      </c>
      <c r="F409" s="9">
        <f>IF(A409="","",COUNTIFS(Payments!$B$5:$B$504,A409))</f>
        <v/>
      </c>
      <c r="G409" s="5">
        <f>IF(OR(A409="",F409=0),"",_xlfn.MAXIFS(Payments!$A$5:$A$504,Payments!$B$5:$B$504,A409))</f>
        <v/>
      </c>
      <c r="H409" s="14" t="n"/>
    </row>
    <row r="410">
      <c r="A410" s="14" t="n"/>
      <c r="B410" s="14" t="n"/>
      <c r="C410" s="14" t="n"/>
      <c r="D410" s="14" t="n"/>
      <c r="E410" s="3">
        <f>IF(A410="","",SUMIFS(Payments!$C$5:$C$504,Payments!$B$5:$B$504,A410))</f>
        <v/>
      </c>
      <c r="F410" s="9">
        <f>IF(A410="","",COUNTIFS(Payments!$B$5:$B$504,A410))</f>
        <v/>
      </c>
      <c r="G410" s="5">
        <f>IF(OR(A410="",F410=0),"",_xlfn.MAXIFS(Payments!$A$5:$A$504,Payments!$B$5:$B$504,A410))</f>
        <v/>
      </c>
      <c r="H410" s="14" t="n"/>
    </row>
    <row r="411">
      <c r="A411" s="14" t="n"/>
      <c r="B411" s="14" t="n"/>
      <c r="C411" s="14" t="n"/>
      <c r="D411" s="14" t="n"/>
      <c r="E411" s="3">
        <f>IF(A411="","",SUMIFS(Payments!$C$5:$C$504,Payments!$B$5:$B$504,A411))</f>
        <v/>
      </c>
      <c r="F411" s="9">
        <f>IF(A411="","",COUNTIFS(Payments!$B$5:$B$504,A411))</f>
        <v/>
      </c>
      <c r="G411" s="5">
        <f>IF(OR(A411="",F411=0),"",_xlfn.MAXIFS(Payments!$A$5:$A$504,Payments!$B$5:$B$504,A411))</f>
        <v/>
      </c>
      <c r="H411" s="14" t="n"/>
    </row>
    <row r="412">
      <c r="A412" s="14" t="n"/>
      <c r="B412" s="14" t="n"/>
      <c r="C412" s="14" t="n"/>
      <c r="D412" s="14" t="n"/>
      <c r="E412" s="3">
        <f>IF(A412="","",SUMIFS(Payments!$C$5:$C$504,Payments!$B$5:$B$504,A412))</f>
        <v/>
      </c>
      <c r="F412" s="9">
        <f>IF(A412="","",COUNTIFS(Payments!$B$5:$B$504,A412))</f>
        <v/>
      </c>
      <c r="G412" s="5">
        <f>IF(OR(A412="",F412=0),"",_xlfn.MAXIFS(Payments!$A$5:$A$504,Payments!$B$5:$B$504,A412))</f>
        <v/>
      </c>
      <c r="H412" s="14" t="n"/>
    </row>
    <row r="413">
      <c r="A413" s="14" t="n"/>
      <c r="B413" s="14" t="n"/>
      <c r="C413" s="14" t="n"/>
      <c r="D413" s="14" t="n"/>
      <c r="E413" s="3">
        <f>IF(A413="","",SUMIFS(Payments!$C$5:$C$504,Payments!$B$5:$B$504,A413))</f>
        <v/>
      </c>
      <c r="F413" s="9">
        <f>IF(A413="","",COUNTIFS(Payments!$B$5:$B$504,A413))</f>
        <v/>
      </c>
      <c r="G413" s="5">
        <f>IF(OR(A413="",F413=0),"",_xlfn.MAXIFS(Payments!$A$5:$A$504,Payments!$B$5:$B$504,A413))</f>
        <v/>
      </c>
      <c r="H413" s="14" t="n"/>
    </row>
    <row r="414">
      <c r="A414" s="14" t="n"/>
      <c r="B414" s="14" t="n"/>
      <c r="C414" s="14" t="n"/>
      <c r="D414" s="14" t="n"/>
      <c r="E414" s="3">
        <f>IF(A414="","",SUMIFS(Payments!$C$5:$C$504,Payments!$B$5:$B$504,A414))</f>
        <v/>
      </c>
      <c r="F414" s="9">
        <f>IF(A414="","",COUNTIFS(Payments!$B$5:$B$504,A414))</f>
        <v/>
      </c>
      <c r="G414" s="5">
        <f>IF(OR(A414="",F414=0),"",_xlfn.MAXIFS(Payments!$A$5:$A$504,Payments!$B$5:$B$504,A414))</f>
        <v/>
      </c>
      <c r="H414" s="14" t="n"/>
    </row>
    <row r="415">
      <c r="A415" s="14" t="n"/>
      <c r="B415" s="14" t="n"/>
      <c r="C415" s="14" t="n"/>
      <c r="D415" s="14" t="n"/>
      <c r="E415" s="3">
        <f>IF(A415="","",SUMIFS(Payments!$C$5:$C$504,Payments!$B$5:$B$504,A415))</f>
        <v/>
      </c>
      <c r="F415" s="9">
        <f>IF(A415="","",COUNTIFS(Payments!$B$5:$B$504,A415))</f>
        <v/>
      </c>
      <c r="G415" s="5">
        <f>IF(OR(A415="",F415=0),"",_xlfn.MAXIFS(Payments!$A$5:$A$504,Payments!$B$5:$B$504,A415))</f>
        <v/>
      </c>
      <c r="H415" s="14" t="n"/>
    </row>
    <row r="416">
      <c r="A416" s="14" t="n"/>
      <c r="B416" s="14" t="n"/>
      <c r="C416" s="14" t="n"/>
      <c r="D416" s="14" t="n"/>
      <c r="E416" s="3">
        <f>IF(A416="","",SUMIFS(Payments!$C$5:$C$504,Payments!$B$5:$B$504,A416))</f>
        <v/>
      </c>
      <c r="F416" s="9">
        <f>IF(A416="","",COUNTIFS(Payments!$B$5:$B$504,A416))</f>
        <v/>
      </c>
      <c r="G416" s="5">
        <f>IF(OR(A416="",F416=0),"",_xlfn.MAXIFS(Payments!$A$5:$A$504,Payments!$B$5:$B$504,A416))</f>
        <v/>
      </c>
      <c r="H416" s="14" t="n"/>
    </row>
    <row r="417">
      <c r="A417" s="14" t="n"/>
      <c r="B417" s="14" t="n"/>
      <c r="C417" s="14" t="n"/>
      <c r="D417" s="14" t="n"/>
      <c r="E417" s="3">
        <f>IF(A417="","",SUMIFS(Payments!$C$5:$C$504,Payments!$B$5:$B$504,A417))</f>
        <v/>
      </c>
      <c r="F417" s="9">
        <f>IF(A417="","",COUNTIFS(Payments!$B$5:$B$504,A417))</f>
        <v/>
      </c>
      <c r="G417" s="5">
        <f>IF(OR(A417="",F417=0),"",_xlfn.MAXIFS(Payments!$A$5:$A$504,Payments!$B$5:$B$504,A417))</f>
        <v/>
      </c>
      <c r="H417" s="14" t="n"/>
    </row>
    <row r="418">
      <c r="A418" s="14" t="n"/>
      <c r="B418" s="14" t="n"/>
      <c r="C418" s="14" t="n"/>
      <c r="D418" s="14" t="n"/>
      <c r="E418" s="3">
        <f>IF(A418="","",SUMIFS(Payments!$C$5:$C$504,Payments!$B$5:$B$504,A418))</f>
        <v/>
      </c>
      <c r="F418" s="9">
        <f>IF(A418="","",COUNTIFS(Payments!$B$5:$B$504,A418))</f>
        <v/>
      </c>
      <c r="G418" s="5">
        <f>IF(OR(A418="",F418=0),"",_xlfn.MAXIFS(Payments!$A$5:$A$504,Payments!$B$5:$B$504,A418))</f>
        <v/>
      </c>
      <c r="H418" s="14" t="n"/>
    </row>
    <row r="419">
      <c r="A419" s="14" t="n"/>
      <c r="B419" s="14" t="n"/>
      <c r="C419" s="14" t="n"/>
      <c r="D419" s="14" t="n"/>
      <c r="E419" s="3">
        <f>IF(A419="","",SUMIFS(Payments!$C$5:$C$504,Payments!$B$5:$B$504,A419))</f>
        <v/>
      </c>
      <c r="F419" s="9">
        <f>IF(A419="","",COUNTIFS(Payments!$B$5:$B$504,A419))</f>
        <v/>
      </c>
      <c r="G419" s="5">
        <f>IF(OR(A419="",F419=0),"",_xlfn.MAXIFS(Payments!$A$5:$A$504,Payments!$B$5:$B$504,A419))</f>
        <v/>
      </c>
      <c r="H419" s="14" t="n"/>
    </row>
    <row r="420">
      <c r="A420" s="14" t="n"/>
      <c r="B420" s="14" t="n"/>
      <c r="C420" s="14" t="n"/>
      <c r="D420" s="14" t="n"/>
      <c r="E420" s="3">
        <f>IF(A420="","",SUMIFS(Payments!$C$5:$C$504,Payments!$B$5:$B$504,A420))</f>
        <v/>
      </c>
      <c r="F420" s="9">
        <f>IF(A420="","",COUNTIFS(Payments!$B$5:$B$504,A420))</f>
        <v/>
      </c>
      <c r="G420" s="5">
        <f>IF(OR(A420="",F420=0),"",_xlfn.MAXIFS(Payments!$A$5:$A$504,Payments!$B$5:$B$504,A420))</f>
        <v/>
      </c>
      <c r="H420" s="14" t="n"/>
    </row>
    <row r="421">
      <c r="A421" s="14" t="n"/>
      <c r="B421" s="14" t="n"/>
      <c r="C421" s="14" t="n"/>
      <c r="D421" s="14" t="n"/>
      <c r="E421" s="3">
        <f>IF(A421="","",SUMIFS(Payments!$C$5:$C$504,Payments!$B$5:$B$504,A421))</f>
        <v/>
      </c>
      <c r="F421" s="9">
        <f>IF(A421="","",COUNTIFS(Payments!$B$5:$B$504,A421))</f>
        <v/>
      </c>
      <c r="G421" s="5">
        <f>IF(OR(A421="",F421=0),"",_xlfn.MAXIFS(Payments!$A$5:$A$504,Payments!$B$5:$B$504,A421))</f>
        <v/>
      </c>
      <c r="H421" s="14" t="n"/>
    </row>
    <row r="422">
      <c r="A422" s="14" t="n"/>
      <c r="B422" s="14" t="n"/>
      <c r="C422" s="14" t="n"/>
      <c r="D422" s="14" t="n"/>
      <c r="E422" s="3">
        <f>IF(A422="","",SUMIFS(Payments!$C$5:$C$504,Payments!$B$5:$B$504,A422))</f>
        <v/>
      </c>
      <c r="F422" s="9">
        <f>IF(A422="","",COUNTIFS(Payments!$B$5:$B$504,A422))</f>
        <v/>
      </c>
      <c r="G422" s="5">
        <f>IF(OR(A422="",F422=0),"",_xlfn.MAXIFS(Payments!$A$5:$A$504,Payments!$B$5:$B$504,A422))</f>
        <v/>
      </c>
      <c r="H422" s="14" t="n"/>
    </row>
    <row r="423">
      <c r="A423" s="14" t="n"/>
      <c r="B423" s="14" t="n"/>
      <c r="C423" s="14" t="n"/>
      <c r="D423" s="14" t="n"/>
      <c r="E423" s="3">
        <f>IF(A423="","",SUMIFS(Payments!$C$5:$C$504,Payments!$B$5:$B$504,A423))</f>
        <v/>
      </c>
      <c r="F423" s="9">
        <f>IF(A423="","",COUNTIFS(Payments!$B$5:$B$504,A423))</f>
        <v/>
      </c>
      <c r="G423" s="5">
        <f>IF(OR(A423="",F423=0),"",_xlfn.MAXIFS(Payments!$A$5:$A$504,Payments!$B$5:$B$504,A423))</f>
        <v/>
      </c>
      <c r="H423" s="14" t="n"/>
    </row>
    <row r="424">
      <c r="A424" s="14" t="n"/>
      <c r="B424" s="14" t="n"/>
      <c r="C424" s="14" t="n"/>
      <c r="D424" s="14" t="n"/>
      <c r="E424" s="3">
        <f>IF(A424="","",SUMIFS(Payments!$C$5:$C$504,Payments!$B$5:$B$504,A424))</f>
        <v/>
      </c>
      <c r="F424" s="9">
        <f>IF(A424="","",COUNTIFS(Payments!$B$5:$B$504,A424))</f>
        <v/>
      </c>
      <c r="G424" s="5">
        <f>IF(OR(A424="",F424=0),"",_xlfn.MAXIFS(Payments!$A$5:$A$504,Payments!$B$5:$B$504,A424))</f>
        <v/>
      </c>
      <c r="H424" s="14" t="n"/>
    </row>
    <row r="425">
      <c r="A425" s="14" t="n"/>
      <c r="B425" s="14" t="n"/>
      <c r="C425" s="14" t="n"/>
      <c r="D425" s="14" t="n"/>
      <c r="E425" s="3">
        <f>IF(A425="","",SUMIFS(Payments!$C$5:$C$504,Payments!$B$5:$B$504,A425))</f>
        <v/>
      </c>
      <c r="F425" s="9">
        <f>IF(A425="","",COUNTIFS(Payments!$B$5:$B$504,A425))</f>
        <v/>
      </c>
      <c r="G425" s="5">
        <f>IF(OR(A425="",F425=0),"",_xlfn.MAXIFS(Payments!$A$5:$A$504,Payments!$B$5:$B$504,A425))</f>
        <v/>
      </c>
      <c r="H425" s="14" t="n"/>
    </row>
    <row r="426">
      <c r="A426" s="14" t="n"/>
      <c r="B426" s="14" t="n"/>
      <c r="C426" s="14" t="n"/>
      <c r="D426" s="14" t="n"/>
      <c r="E426" s="3">
        <f>IF(A426="","",SUMIFS(Payments!$C$5:$C$504,Payments!$B$5:$B$504,A426))</f>
        <v/>
      </c>
      <c r="F426" s="9">
        <f>IF(A426="","",COUNTIFS(Payments!$B$5:$B$504,A426))</f>
        <v/>
      </c>
      <c r="G426" s="5">
        <f>IF(OR(A426="",F426=0),"",_xlfn.MAXIFS(Payments!$A$5:$A$504,Payments!$B$5:$B$504,A426))</f>
        <v/>
      </c>
      <c r="H426" s="14" t="n"/>
    </row>
    <row r="427">
      <c r="A427" s="14" t="n"/>
      <c r="B427" s="14" t="n"/>
      <c r="C427" s="14" t="n"/>
      <c r="D427" s="14" t="n"/>
      <c r="E427" s="3">
        <f>IF(A427="","",SUMIFS(Payments!$C$5:$C$504,Payments!$B$5:$B$504,A427))</f>
        <v/>
      </c>
      <c r="F427" s="9">
        <f>IF(A427="","",COUNTIFS(Payments!$B$5:$B$504,A427))</f>
        <v/>
      </c>
      <c r="G427" s="5">
        <f>IF(OR(A427="",F427=0),"",_xlfn.MAXIFS(Payments!$A$5:$A$504,Payments!$B$5:$B$504,A427))</f>
        <v/>
      </c>
      <c r="H427" s="14" t="n"/>
    </row>
    <row r="428">
      <c r="A428" s="14" t="n"/>
      <c r="B428" s="14" t="n"/>
      <c r="C428" s="14" t="n"/>
      <c r="D428" s="14" t="n"/>
      <c r="E428" s="3">
        <f>IF(A428="","",SUMIFS(Payments!$C$5:$C$504,Payments!$B$5:$B$504,A428))</f>
        <v/>
      </c>
      <c r="F428" s="9">
        <f>IF(A428="","",COUNTIFS(Payments!$B$5:$B$504,A428))</f>
        <v/>
      </c>
      <c r="G428" s="5">
        <f>IF(OR(A428="",F428=0),"",_xlfn.MAXIFS(Payments!$A$5:$A$504,Payments!$B$5:$B$504,A428))</f>
        <v/>
      </c>
      <c r="H428" s="14" t="n"/>
    </row>
    <row r="429">
      <c r="A429" s="14" t="n"/>
      <c r="B429" s="14" t="n"/>
      <c r="C429" s="14" t="n"/>
      <c r="D429" s="14" t="n"/>
      <c r="E429" s="3">
        <f>IF(A429="","",SUMIFS(Payments!$C$5:$C$504,Payments!$B$5:$B$504,A429))</f>
        <v/>
      </c>
      <c r="F429" s="9">
        <f>IF(A429="","",COUNTIFS(Payments!$B$5:$B$504,A429))</f>
        <v/>
      </c>
      <c r="G429" s="5">
        <f>IF(OR(A429="",F429=0),"",_xlfn.MAXIFS(Payments!$A$5:$A$504,Payments!$B$5:$B$504,A429))</f>
        <v/>
      </c>
      <c r="H429" s="14" t="n"/>
    </row>
    <row r="430">
      <c r="A430" s="14" t="n"/>
      <c r="B430" s="14" t="n"/>
      <c r="C430" s="14" t="n"/>
      <c r="D430" s="14" t="n"/>
      <c r="E430" s="3">
        <f>IF(A430="","",SUMIFS(Payments!$C$5:$C$504,Payments!$B$5:$B$504,A430))</f>
        <v/>
      </c>
      <c r="F430" s="9">
        <f>IF(A430="","",COUNTIFS(Payments!$B$5:$B$504,A430))</f>
        <v/>
      </c>
      <c r="G430" s="5">
        <f>IF(OR(A430="",F430=0),"",_xlfn.MAXIFS(Payments!$A$5:$A$504,Payments!$B$5:$B$504,A430))</f>
        <v/>
      </c>
      <c r="H430" s="14" t="n"/>
    </row>
    <row r="431">
      <c r="A431" s="14" t="n"/>
      <c r="B431" s="14" t="n"/>
      <c r="C431" s="14" t="n"/>
      <c r="D431" s="14" t="n"/>
      <c r="E431" s="3">
        <f>IF(A431="","",SUMIFS(Payments!$C$5:$C$504,Payments!$B$5:$B$504,A431))</f>
        <v/>
      </c>
      <c r="F431" s="9">
        <f>IF(A431="","",COUNTIFS(Payments!$B$5:$B$504,A431))</f>
        <v/>
      </c>
      <c r="G431" s="5">
        <f>IF(OR(A431="",F431=0),"",_xlfn.MAXIFS(Payments!$A$5:$A$504,Payments!$B$5:$B$504,A431))</f>
        <v/>
      </c>
      <c r="H431" s="14" t="n"/>
    </row>
    <row r="432">
      <c r="A432" s="14" t="n"/>
      <c r="B432" s="14" t="n"/>
      <c r="C432" s="14" t="n"/>
      <c r="D432" s="14" t="n"/>
      <c r="E432" s="3">
        <f>IF(A432="","",SUMIFS(Payments!$C$5:$C$504,Payments!$B$5:$B$504,A432))</f>
        <v/>
      </c>
      <c r="F432" s="9">
        <f>IF(A432="","",COUNTIFS(Payments!$B$5:$B$504,A432))</f>
        <v/>
      </c>
      <c r="G432" s="5">
        <f>IF(OR(A432="",F432=0),"",_xlfn.MAXIFS(Payments!$A$5:$A$504,Payments!$B$5:$B$504,A432))</f>
        <v/>
      </c>
      <c r="H432" s="14" t="n"/>
    </row>
    <row r="433">
      <c r="A433" s="14" t="n"/>
      <c r="B433" s="14" t="n"/>
      <c r="C433" s="14" t="n"/>
      <c r="D433" s="14" t="n"/>
      <c r="E433" s="3">
        <f>IF(A433="","",SUMIFS(Payments!$C$5:$C$504,Payments!$B$5:$B$504,A433))</f>
        <v/>
      </c>
      <c r="F433" s="9">
        <f>IF(A433="","",COUNTIFS(Payments!$B$5:$B$504,A433))</f>
        <v/>
      </c>
      <c r="G433" s="5">
        <f>IF(OR(A433="",F433=0),"",_xlfn.MAXIFS(Payments!$A$5:$A$504,Payments!$B$5:$B$504,A433))</f>
        <v/>
      </c>
      <c r="H433" s="14" t="n"/>
    </row>
    <row r="434">
      <c r="A434" s="14" t="n"/>
      <c r="B434" s="14" t="n"/>
      <c r="C434" s="14" t="n"/>
      <c r="D434" s="14" t="n"/>
      <c r="E434" s="3">
        <f>IF(A434="","",SUMIFS(Payments!$C$5:$C$504,Payments!$B$5:$B$504,A434))</f>
        <v/>
      </c>
      <c r="F434" s="9">
        <f>IF(A434="","",COUNTIFS(Payments!$B$5:$B$504,A434))</f>
        <v/>
      </c>
      <c r="G434" s="5">
        <f>IF(OR(A434="",F434=0),"",_xlfn.MAXIFS(Payments!$A$5:$A$504,Payments!$B$5:$B$504,A434))</f>
        <v/>
      </c>
      <c r="H434" s="14" t="n"/>
    </row>
    <row r="435">
      <c r="A435" s="14" t="n"/>
      <c r="B435" s="14" t="n"/>
      <c r="C435" s="14" t="n"/>
      <c r="D435" s="14" t="n"/>
      <c r="E435" s="3">
        <f>IF(A435="","",SUMIFS(Payments!$C$5:$C$504,Payments!$B$5:$B$504,A435))</f>
        <v/>
      </c>
      <c r="F435" s="9">
        <f>IF(A435="","",COUNTIFS(Payments!$B$5:$B$504,A435))</f>
        <v/>
      </c>
      <c r="G435" s="5">
        <f>IF(OR(A435="",F435=0),"",_xlfn.MAXIFS(Payments!$A$5:$A$504,Payments!$B$5:$B$504,A435))</f>
        <v/>
      </c>
      <c r="H435" s="14" t="n"/>
    </row>
    <row r="436">
      <c r="A436" s="14" t="n"/>
      <c r="B436" s="14" t="n"/>
      <c r="C436" s="14" t="n"/>
      <c r="D436" s="14" t="n"/>
      <c r="E436" s="3">
        <f>IF(A436="","",SUMIFS(Payments!$C$5:$C$504,Payments!$B$5:$B$504,A436))</f>
        <v/>
      </c>
      <c r="F436" s="9">
        <f>IF(A436="","",COUNTIFS(Payments!$B$5:$B$504,A436))</f>
        <v/>
      </c>
      <c r="G436" s="5">
        <f>IF(OR(A436="",F436=0),"",_xlfn.MAXIFS(Payments!$A$5:$A$504,Payments!$B$5:$B$504,A436))</f>
        <v/>
      </c>
      <c r="H436" s="14" t="n"/>
    </row>
    <row r="437">
      <c r="A437" s="14" t="n"/>
      <c r="B437" s="14" t="n"/>
      <c r="C437" s="14" t="n"/>
      <c r="D437" s="14" t="n"/>
      <c r="E437" s="3">
        <f>IF(A437="","",SUMIFS(Payments!$C$5:$C$504,Payments!$B$5:$B$504,A437))</f>
        <v/>
      </c>
      <c r="F437" s="9">
        <f>IF(A437="","",COUNTIFS(Payments!$B$5:$B$504,A437))</f>
        <v/>
      </c>
      <c r="G437" s="5">
        <f>IF(OR(A437="",F437=0),"",_xlfn.MAXIFS(Payments!$A$5:$A$504,Payments!$B$5:$B$504,A437))</f>
        <v/>
      </c>
      <c r="H437" s="14" t="n"/>
    </row>
    <row r="438">
      <c r="A438" s="14" t="n"/>
      <c r="B438" s="14" t="n"/>
      <c r="C438" s="14" t="n"/>
      <c r="D438" s="14" t="n"/>
      <c r="E438" s="3">
        <f>IF(A438="","",SUMIFS(Payments!$C$5:$C$504,Payments!$B$5:$B$504,A438))</f>
        <v/>
      </c>
      <c r="F438" s="9">
        <f>IF(A438="","",COUNTIFS(Payments!$B$5:$B$504,A438))</f>
        <v/>
      </c>
      <c r="G438" s="5">
        <f>IF(OR(A438="",F438=0),"",_xlfn.MAXIFS(Payments!$A$5:$A$504,Payments!$B$5:$B$504,A438))</f>
        <v/>
      </c>
      <c r="H438" s="14" t="n"/>
    </row>
    <row r="439">
      <c r="A439" s="14" t="n"/>
      <c r="B439" s="14" t="n"/>
      <c r="C439" s="14" t="n"/>
      <c r="D439" s="14" t="n"/>
      <c r="E439" s="3">
        <f>IF(A439="","",SUMIFS(Payments!$C$5:$C$504,Payments!$B$5:$B$504,A439))</f>
        <v/>
      </c>
      <c r="F439" s="9">
        <f>IF(A439="","",COUNTIFS(Payments!$B$5:$B$504,A439))</f>
        <v/>
      </c>
      <c r="G439" s="5">
        <f>IF(OR(A439="",F439=0),"",_xlfn.MAXIFS(Payments!$A$5:$A$504,Payments!$B$5:$B$504,A439))</f>
        <v/>
      </c>
      <c r="H439" s="14" t="n"/>
    </row>
    <row r="440">
      <c r="A440" s="14" t="n"/>
      <c r="B440" s="14" t="n"/>
      <c r="C440" s="14" t="n"/>
      <c r="D440" s="14" t="n"/>
      <c r="E440" s="3">
        <f>IF(A440="","",SUMIFS(Payments!$C$5:$C$504,Payments!$B$5:$B$504,A440))</f>
        <v/>
      </c>
      <c r="F440" s="9">
        <f>IF(A440="","",COUNTIFS(Payments!$B$5:$B$504,A440))</f>
        <v/>
      </c>
      <c r="G440" s="5">
        <f>IF(OR(A440="",F440=0),"",_xlfn.MAXIFS(Payments!$A$5:$A$504,Payments!$B$5:$B$504,A440))</f>
        <v/>
      </c>
      <c r="H440" s="14" t="n"/>
    </row>
    <row r="441">
      <c r="A441" s="14" t="n"/>
      <c r="B441" s="14" t="n"/>
      <c r="C441" s="14" t="n"/>
      <c r="D441" s="14" t="n"/>
      <c r="E441" s="3">
        <f>IF(A441="","",SUMIFS(Payments!$C$5:$C$504,Payments!$B$5:$B$504,A441))</f>
        <v/>
      </c>
      <c r="F441" s="9">
        <f>IF(A441="","",COUNTIFS(Payments!$B$5:$B$504,A441))</f>
        <v/>
      </c>
      <c r="G441" s="5">
        <f>IF(OR(A441="",F441=0),"",_xlfn.MAXIFS(Payments!$A$5:$A$504,Payments!$B$5:$B$504,A441))</f>
        <v/>
      </c>
      <c r="H441" s="14" t="n"/>
    </row>
    <row r="442">
      <c r="A442" s="14" t="n"/>
      <c r="B442" s="14" t="n"/>
      <c r="C442" s="14" t="n"/>
      <c r="D442" s="14" t="n"/>
      <c r="E442" s="3">
        <f>IF(A442="","",SUMIFS(Payments!$C$5:$C$504,Payments!$B$5:$B$504,A442))</f>
        <v/>
      </c>
      <c r="F442" s="9">
        <f>IF(A442="","",COUNTIFS(Payments!$B$5:$B$504,A442))</f>
        <v/>
      </c>
      <c r="G442" s="5">
        <f>IF(OR(A442="",F442=0),"",_xlfn.MAXIFS(Payments!$A$5:$A$504,Payments!$B$5:$B$504,A442))</f>
        <v/>
      </c>
      <c r="H442" s="14" t="n"/>
    </row>
    <row r="443">
      <c r="A443" s="14" t="n"/>
      <c r="B443" s="14" t="n"/>
      <c r="C443" s="14" t="n"/>
      <c r="D443" s="14" t="n"/>
      <c r="E443" s="3">
        <f>IF(A443="","",SUMIFS(Payments!$C$5:$C$504,Payments!$B$5:$B$504,A443))</f>
        <v/>
      </c>
      <c r="F443" s="9">
        <f>IF(A443="","",COUNTIFS(Payments!$B$5:$B$504,A443))</f>
        <v/>
      </c>
      <c r="G443" s="5">
        <f>IF(OR(A443="",F443=0),"",_xlfn.MAXIFS(Payments!$A$5:$A$504,Payments!$B$5:$B$504,A443))</f>
        <v/>
      </c>
      <c r="H443" s="14" t="n"/>
    </row>
    <row r="444">
      <c r="A444" s="14" t="n"/>
      <c r="B444" s="14" t="n"/>
      <c r="C444" s="14" t="n"/>
      <c r="D444" s="14" t="n"/>
      <c r="E444" s="3">
        <f>IF(A444="","",SUMIFS(Payments!$C$5:$C$504,Payments!$B$5:$B$504,A444))</f>
        <v/>
      </c>
      <c r="F444" s="9">
        <f>IF(A444="","",COUNTIFS(Payments!$B$5:$B$504,A444))</f>
        <v/>
      </c>
      <c r="G444" s="5">
        <f>IF(OR(A444="",F444=0),"",_xlfn.MAXIFS(Payments!$A$5:$A$504,Payments!$B$5:$B$504,A444))</f>
        <v/>
      </c>
      <c r="H444" s="14" t="n"/>
    </row>
    <row r="445">
      <c r="A445" s="14" t="n"/>
      <c r="B445" s="14" t="n"/>
      <c r="C445" s="14" t="n"/>
      <c r="D445" s="14" t="n"/>
      <c r="E445" s="3">
        <f>IF(A445="","",SUMIFS(Payments!$C$5:$C$504,Payments!$B$5:$B$504,A445))</f>
        <v/>
      </c>
      <c r="F445" s="9">
        <f>IF(A445="","",COUNTIFS(Payments!$B$5:$B$504,A445))</f>
        <v/>
      </c>
      <c r="G445" s="5">
        <f>IF(OR(A445="",F445=0),"",_xlfn.MAXIFS(Payments!$A$5:$A$504,Payments!$B$5:$B$504,A445))</f>
        <v/>
      </c>
      <c r="H445" s="14" t="n"/>
    </row>
    <row r="446">
      <c r="A446" s="14" t="n"/>
      <c r="B446" s="14" t="n"/>
      <c r="C446" s="14" t="n"/>
      <c r="D446" s="14" t="n"/>
      <c r="E446" s="3">
        <f>IF(A446="","",SUMIFS(Payments!$C$5:$C$504,Payments!$B$5:$B$504,A446))</f>
        <v/>
      </c>
      <c r="F446" s="9">
        <f>IF(A446="","",COUNTIFS(Payments!$B$5:$B$504,A446))</f>
        <v/>
      </c>
      <c r="G446" s="5">
        <f>IF(OR(A446="",F446=0),"",_xlfn.MAXIFS(Payments!$A$5:$A$504,Payments!$B$5:$B$504,A446))</f>
        <v/>
      </c>
      <c r="H446" s="14" t="n"/>
    </row>
    <row r="447">
      <c r="A447" s="14" t="n"/>
      <c r="B447" s="14" t="n"/>
      <c r="C447" s="14" t="n"/>
      <c r="D447" s="14" t="n"/>
      <c r="E447" s="3">
        <f>IF(A447="","",SUMIFS(Payments!$C$5:$C$504,Payments!$B$5:$B$504,A447))</f>
        <v/>
      </c>
      <c r="F447" s="9">
        <f>IF(A447="","",COUNTIFS(Payments!$B$5:$B$504,A447))</f>
        <v/>
      </c>
      <c r="G447" s="5">
        <f>IF(OR(A447="",F447=0),"",_xlfn.MAXIFS(Payments!$A$5:$A$504,Payments!$B$5:$B$504,A447))</f>
        <v/>
      </c>
      <c r="H447" s="14" t="n"/>
    </row>
    <row r="448">
      <c r="A448" s="14" t="n"/>
      <c r="B448" s="14" t="n"/>
      <c r="C448" s="14" t="n"/>
      <c r="D448" s="14" t="n"/>
      <c r="E448" s="3">
        <f>IF(A448="","",SUMIFS(Payments!$C$5:$C$504,Payments!$B$5:$B$504,A448))</f>
        <v/>
      </c>
      <c r="F448" s="9">
        <f>IF(A448="","",COUNTIFS(Payments!$B$5:$B$504,A448))</f>
        <v/>
      </c>
      <c r="G448" s="5">
        <f>IF(OR(A448="",F448=0),"",_xlfn.MAXIFS(Payments!$A$5:$A$504,Payments!$B$5:$B$504,A448))</f>
        <v/>
      </c>
      <c r="H448" s="14" t="n"/>
    </row>
    <row r="449">
      <c r="A449" s="14" t="n"/>
      <c r="B449" s="14" t="n"/>
      <c r="C449" s="14" t="n"/>
      <c r="D449" s="14" t="n"/>
      <c r="E449" s="3">
        <f>IF(A449="","",SUMIFS(Payments!$C$5:$C$504,Payments!$B$5:$B$504,A449))</f>
        <v/>
      </c>
      <c r="F449" s="9">
        <f>IF(A449="","",COUNTIFS(Payments!$B$5:$B$504,A449))</f>
        <v/>
      </c>
      <c r="G449" s="5">
        <f>IF(OR(A449="",F449=0),"",_xlfn.MAXIFS(Payments!$A$5:$A$504,Payments!$B$5:$B$504,A449))</f>
        <v/>
      </c>
      <c r="H449" s="14" t="n"/>
    </row>
    <row r="450">
      <c r="A450" s="14" t="n"/>
      <c r="B450" s="14" t="n"/>
      <c r="C450" s="14" t="n"/>
      <c r="D450" s="14" t="n"/>
      <c r="E450" s="3">
        <f>IF(A450="","",SUMIFS(Payments!$C$5:$C$504,Payments!$B$5:$B$504,A450))</f>
        <v/>
      </c>
      <c r="F450" s="9">
        <f>IF(A450="","",COUNTIFS(Payments!$B$5:$B$504,A450))</f>
        <v/>
      </c>
      <c r="G450" s="5">
        <f>IF(OR(A450="",F450=0),"",_xlfn.MAXIFS(Payments!$A$5:$A$504,Payments!$B$5:$B$504,A450))</f>
        <v/>
      </c>
      <c r="H450" s="14" t="n"/>
    </row>
    <row r="451">
      <c r="A451" s="14" t="n"/>
      <c r="B451" s="14" t="n"/>
      <c r="C451" s="14" t="n"/>
      <c r="D451" s="14" t="n"/>
      <c r="E451" s="3">
        <f>IF(A451="","",SUMIFS(Payments!$C$5:$C$504,Payments!$B$5:$B$504,A451))</f>
        <v/>
      </c>
      <c r="F451" s="9">
        <f>IF(A451="","",COUNTIFS(Payments!$B$5:$B$504,A451))</f>
        <v/>
      </c>
      <c r="G451" s="5">
        <f>IF(OR(A451="",F451=0),"",_xlfn.MAXIFS(Payments!$A$5:$A$504,Payments!$B$5:$B$504,A451))</f>
        <v/>
      </c>
      <c r="H451" s="14" t="n"/>
    </row>
    <row r="452">
      <c r="A452" s="14" t="n"/>
      <c r="B452" s="14" t="n"/>
      <c r="C452" s="14" t="n"/>
      <c r="D452" s="14" t="n"/>
      <c r="E452" s="3">
        <f>IF(A452="","",SUMIFS(Payments!$C$5:$C$504,Payments!$B$5:$B$504,A452))</f>
        <v/>
      </c>
      <c r="F452" s="9">
        <f>IF(A452="","",COUNTIFS(Payments!$B$5:$B$504,A452))</f>
        <v/>
      </c>
      <c r="G452" s="5">
        <f>IF(OR(A452="",F452=0),"",_xlfn.MAXIFS(Payments!$A$5:$A$504,Payments!$B$5:$B$504,A452))</f>
        <v/>
      </c>
      <c r="H452" s="14" t="n"/>
    </row>
    <row r="453">
      <c r="A453" s="14" t="n"/>
      <c r="B453" s="14" t="n"/>
      <c r="C453" s="14" t="n"/>
      <c r="D453" s="14" t="n"/>
      <c r="E453" s="3">
        <f>IF(A453="","",SUMIFS(Payments!$C$5:$C$504,Payments!$B$5:$B$504,A453))</f>
        <v/>
      </c>
      <c r="F453" s="9">
        <f>IF(A453="","",COUNTIFS(Payments!$B$5:$B$504,A453))</f>
        <v/>
      </c>
      <c r="G453" s="5">
        <f>IF(OR(A453="",F453=0),"",_xlfn.MAXIFS(Payments!$A$5:$A$504,Payments!$B$5:$B$504,A453))</f>
        <v/>
      </c>
      <c r="H453" s="14" t="n"/>
    </row>
    <row r="454">
      <c r="A454" s="14" t="n"/>
      <c r="B454" s="14" t="n"/>
      <c r="C454" s="14" t="n"/>
      <c r="D454" s="14" t="n"/>
      <c r="E454" s="3">
        <f>IF(A454="","",SUMIFS(Payments!$C$5:$C$504,Payments!$B$5:$B$504,A454))</f>
        <v/>
      </c>
      <c r="F454" s="9">
        <f>IF(A454="","",COUNTIFS(Payments!$B$5:$B$504,A454))</f>
        <v/>
      </c>
      <c r="G454" s="5">
        <f>IF(OR(A454="",F454=0),"",_xlfn.MAXIFS(Payments!$A$5:$A$504,Payments!$B$5:$B$504,A454))</f>
        <v/>
      </c>
      <c r="H454" s="14" t="n"/>
    </row>
    <row r="455">
      <c r="A455" s="14" t="n"/>
      <c r="B455" s="14" t="n"/>
      <c r="C455" s="14" t="n"/>
      <c r="D455" s="14" t="n"/>
      <c r="E455" s="3">
        <f>IF(A455="","",SUMIFS(Payments!$C$5:$C$504,Payments!$B$5:$B$504,A455))</f>
        <v/>
      </c>
      <c r="F455" s="9">
        <f>IF(A455="","",COUNTIFS(Payments!$B$5:$B$504,A455))</f>
        <v/>
      </c>
      <c r="G455" s="5">
        <f>IF(OR(A455="",F455=0),"",_xlfn.MAXIFS(Payments!$A$5:$A$504,Payments!$B$5:$B$504,A455))</f>
        <v/>
      </c>
      <c r="H455" s="14" t="n"/>
    </row>
    <row r="456">
      <c r="A456" s="14" t="n"/>
      <c r="B456" s="14" t="n"/>
      <c r="C456" s="14" t="n"/>
      <c r="D456" s="14" t="n"/>
      <c r="E456" s="3">
        <f>IF(A456="","",SUMIFS(Payments!$C$5:$C$504,Payments!$B$5:$B$504,A456))</f>
        <v/>
      </c>
      <c r="F456" s="9">
        <f>IF(A456="","",COUNTIFS(Payments!$B$5:$B$504,A456))</f>
        <v/>
      </c>
      <c r="G456" s="5">
        <f>IF(OR(A456="",F456=0),"",_xlfn.MAXIFS(Payments!$A$5:$A$504,Payments!$B$5:$B$504,A456))</f>
        <v/>
      </c>
      <c r="H456" s="14" t="n"/>
    </row>
    <row r="457">
      <c r="A457" s="14" t="n"/>
      <c r="B457" s="14" t="n"/>
      <c r="C457" s="14" t="n"/>
      <c r="D457" s="14" t="n"/>
      <c r="E457" s="3">
        <f>IF(A457="","",SUMIFS(Payments!$C$5:$C$504,Payments!$B$5:$B$504,A457))</f>
        <v/>
      </c>
      <c r="F457" s="9">
        <f>IF(A457="","",COUNTIFS(Payments!$B$5:$B$504,A457))</f>
        <v/>
      </c>
      <c r="G457" s="5">
        <f>IF(OR(A457="",F457=0),"",_xlfn.MAXIFS(Payments!$A$5:$A$504,Payments!$B$5:$B$504,A457))</f>
        <v/>
      </c>
      <c r="H457" s="14" t="n"/>
    </row>
    <row r="458">
      <c r="A458" s="14" t="n"/>
      <c r="B458" s="14" t="n"/>
      <c r="C458" s="14" t="n"/>
      <c r="D458" s="14" t="n"/>
      <c r="E458" s="3">
        <f>IF(A458="","",SUMIFS(Payments!$C$5:$C$504,Payments!$B$5:$B$504,A458))</f>
        <v/>
      </c>
      <c r="F458" s="9">
        <f>IF(A458="","",COUNTIFS(Payments!$B$5:$B$504,A458))</f>
        <v/>
      </c>
      <c r="G458" s="5">
        <f>IF(OR(A458="",F458=0),"",_xlfn.MAXIFS(Payments!$A$5:$A$504,Payments!$B$5:$B$504,A458))</f>
        <v/>
      </c>
      <c r="H458" s="14" t="n"/>
    </row>
    <row r="459">
      <c r="A459" s="14" t="n"/>
      <c r="B459" s="14" t="n"/>
      <c r="C459" s="14" t="n"/>
      <c r="D459" s="14" t="n"/>
      <c r="E459" s="3">
        <f>IF(A459="","",SUMIFS(Payments!$C$5:$C$504,Payments!$B$5:$B$504,A459))</f>
        <v/>
      </c>
      <c r="F459" s="9">
        <f>IF(A459="","",COUNTIFS(Payments!$B$5:$B$504,A459))</f>
        <v/>
      </c>
      <c r="G459" s="5">
        <f>IF(OR(A459="",F459=0),"",_xlfn.MAXIFS(Payments!$A$5:$A$504,Payments!$B$5:$B$504,A459))</f>
        <v/>
      </c>
      <c r="H459" s="14" t="n"/>
    </row>
    <row r="460">
      <c r="A460" s="14" t="n"/>
      <c r="B460" s="14" t="n"/>
      <c r="C460" s="14" t="n"/>
      <c r="D460" s="14" t="n"/>
      <c r="E460" s="3">
        <f>IF(A460="","",SUMIFS(Payments!$C$5:$C$504,Payments!$B$5:$B$504,A460))</f>
        <v/>
      </c>
      <c r="F460" s="9">
        <f>IF(A460="","",COUNTIFS(Payments!$B$5:$B$504,A460))</f>
        <v/>
      </c>
      <c r="G460" s="5">
        <f>IF(OR(A460="",F460=0),"",_xlfn.MAXIFS(Payments!$A$5:$A$504,Payments!$B$5:$B$504,A460))</f>
        <v/>
      </c>
      <c r="H460" s="14" t="n"/>
    </row>
    <row r="461">
      <c r="A461" s="14" t="n"/>
      <c r="B461" s="14" t="n"/>
      <c r="C461" s="14" t="n"/>
      <c r="D461" s="14" t="n"/>
      <c r="E461" s="3">
        <f>IF(A461="","",SUMIFS(Payments!$C$5:$C$504,Payments!$B$5:$B$504,A461))</f>
        <v/>
      </c>
      <c r="F461" s="9">
        <f>IF(A461="","",COUNTIFS(Payments!$B$5:$B$504,A461))</f>
        <v/>
      </c>
      <c r="G461" s="5">
        <f>IF(OR(A461="",F461=0),"",_xlfn.MAXIFS(Payments!$A$5:$A$504,Payments!$B$5:$B$504,A461))</f>
        <v/>
      </c>
      <c r="H461" s="14" t="n"/>
    </row>
    <row r="462">
      <c r="A462" s="14" t="n"/>
      <c r="B462" s="14" t="n"/>
      <c r="C462" s="14" t="n"/>
      <c r="D462" s="14" t="n"/>
      <c r="E462" s="3">
        <f>IF(A462="","",SUMIFS(Payments!$C$5:$C$504,Payments!$B$5:$B$504,A462))</f>
        <v/>
      </c>
      <c r="F462" s="9">
        <f>IF(A462="","",COUNTIFS(Payments!$B$5:$B$504,A462))</f>
        <v/>
      </c>
      <c r="G462" s="5">
        <f>IF(OR(A462="",F462=0),"",_xlfn.MAXIFS(Payments!$A$5:$A$504,Payments!$B$5:$B$504,A462))</f>
        <v/>
      </c>
      <c r="H462" s="14" t="n"/>
    </row>
    <row r="463">
      <c r="A463" s="14" t="n"/>
      <c r="B463" s="14" t="n"/>
      <c r="C463" s="14" t="n"/>
      <c r="D463" s="14" t="n"/>
      <c r="E463" s="3">
        <f>IF(A463="","",SUMIFS(Payments!$C$5:$C$504,Payments!$B$5:$B$504,A463))</f>
        <v/>
      </c>
      <c r="F463" s="9">
        <f>IF(A463="","",COUNTIFS(Payments!$B$5:$B$504,A463))</f>
        <v/>
      </c>
      <c r="G463" s="5">
        <f>IF(OR(A463="",F463=0),"",_xlfn.MAXIFS(Payments!$A$5:$A$504,Payments!$B$5:$B$504,A463))</f>
        <v/>
      </c>
      <c r="H463" s="14" t="n"/>
    </row>
    <row r="464">
      <c r="A464" s="14" t="n"/>
      <c r="B464" s="14" t="n"/>
      <c r="C464" s="14" t="n"/>
      <c r="D464" s="14" t="n"/>
      <c r="E464" s="3">
        <f>IF(A464="","",SUMIFS(Payments!$C$5:$C$504,Payments!$B$5:$B$504,A464))</f>
        <v/>
      </c>
      <c r="F464" s="9">
        <f>IF(A464="","",COUNTIFS(Payments!$B$5:$B$504,A464))</f>
        <v/>
      </c>
      <c r="G464" s="5">
        <f>IF(OR(A464="",F464=0),"",_xlfn.MAXIFS(Payments!$A$5:$A$504,Payments!$B$5:$B$504,A464))</f>
        <v/>
      </c>
      <c r="H464" s="14" t="n"/>
    </row>
    <row r="465">
      <c r="A465" s="14" t="n"/>
      <c r="B465" s="14" t="n"/>
      <c r="C465" s="14" t="n"/>
      <c r="D465" s="14" t="n"/>
      <c r="E465" s="3">
        <f>IF(A465="","",SUMIFS(Payments!$C$5:$C$504,Payments!$B$5:$B$504,A465))</f>
        <v/>
      </c>
      <c r="F465" s="9">
        <f>IF(A465="","",COUNTIFS(Payments!$B$5:$B$504,A465))</f>
        <v/>
      </c>
      <c r="G465" s="5">
        <f>IF(OR(A465="",F465=0),"",_xlfn.MAXIFS(Payments!$A$5:$A$504,Payments!$B$5:$B$504,A465))</f>
        <v/>
      </c>
      <c r="H465" s="14" t="n"/>
    </row>
    <row r="466">
      <c r="A466" s="14" t="n"/>
      <c r="B466" s="14" t="n"/>
      <c r="C466" s="14" t="n"/>
      <c r="D466" s="14" t="n"/>
      <c r="E466" s="3">
        <f>IF(A466="","",SUMIFS(Payments!$C$5:$C$504,Payments!$B$5:$B$504,A466))</f>
        <v/>
      </c>
      <c r="F466" s="9">
        <f>IF(A466="","",COUNTIFS(Payments!$B$5:$B$504,A466))</f>
        <v/>
      </c>
      <c r="G466" s="5">
        <f>IF(OR(A466="",F466=0),"",_xlfn.MAXIFS(Payments!$A$5:$A$504,Payments!$B$5:$B$504,A466))</f>
        <v/>
      </c>
      <c r="H466" s="14" t="n"/>
    </row>
    <row r="467">
      <c r="A467" s="14" t="n"/>
      <c r="B467" s="14" t="n"/>
      <c r="C467" s="14" t="n"/>
      <c r="D467" s="14" t="n"/>
      <c r="E467" s="3">
        <f>IF(A467="","",SUMIFS(Payments!$C$5:$C$504,Payments!$B$5:$B$504,A467))</f>
        <v/>
      </c>
      <c r="F467" s="9">
        <f>IF(A467="","",COUNTIFS(Payments!$B$5:$B$504,A467))</f>
        <v/>
      </c>
      <c r="G467" s="5">
        <f>IF(OR(A467="",F467=0),"",_xlfn.MAXIFS(Payments!$A$5:$A$504,Payments!$B$5:$B$504,A467))</f>
        <v/>
      </c>
      <c r="H467" s="14" t="n"/>
    </row>
    <row r="468">
      <c r="A468" s="14" t="n"/>
      <c r="B468" s="14" t="n"/>
      <c r="C468" s="14" t="n"/>
      <c r="D468" s="14" t="n"/>
      <c r="E468" s="3">
        <f>IF(A468="","",SUMIFS(Payments!$C$5:$C$504,Payments!$B$5:$B$504,A468))</f>
        <v/>
      </c>
      <c r="F468" s="9">
        <f>IF(A468="","",COUNTIFS(Payments!$B$5:$B$504,A468))</f>
        <v/>
      </c>
      <c r="G468" s="5">
        <f>IF(OR(A468="",F468=0),"",_xlfn.MAXIFS(Payments!$A$5:$A$504,Payments!$B$5:$B$504,A468))</f>
        <v/>
      </c>
      <c r="H468" s="14" t="n"/>
    </row>
    <row r="469">
      <c r="A469" s="14" t="n"/>
      <c r="B469" s="14" t="n"/>
      <c r="C469" s="14" t="n"/>
      <c r="D469" s="14" t="n"/>
      <c r="E469" s="3">
        <f>IF(A469="","",SUMIFS(Payments!$C$5:$C$504,Payments!$B$5:$B$504,A469))</f>
        <v/>
      </c>
      <c r="F469" s="9">
        <f>IF(A469="","",COUNTIFS(Payments!$B$5:$B$504,A469))</f>
        <v/>
      </c>
      <c r="G469" s="5">
        <f>IF(OR(A469="",F469=0),"",_xlfn.MAXIFS(Payments!$A$5:$A$504,Payments!$B$5:$B$504,A469))</f>
        <v/>
      </c>
      <c r="H469" s="14" t="n"/>
    </row>
    <row r="470">
      <c r="A470" s="14" t="n"/>
      <c r="B470" s="14" t="n"/>
      <c r="C470" s="14" t="n"/>
      <c r="D470" s="14" t="n"/>
      <c r="E470" s="3">
        <f>IF(A470="","",SUMIFS(Payments!$C$5:$C$504,Payments!$B$5:$B$504,A470))</f>
        <v/>
      </c>
      <c r="F470" s="9">
        <f>IF(A470="","",COUNTIFS(Payments!$B$5:$B$504,A470))</f>
        <v/>
      </c>
      <c r="G470" s="5">
        <f>IF(OR(A470="",F470=0),"",_xlfn.MAXIFS(Payments!$A$5:$A$504,Payments!$B$5:$B$504,A470))</f>
        <v/>
      </c>
      <c r="H470" s="14" t="n"/>
    </row>
    <row r="471">
      <c r="A471" s="14" t="n"/>
      <c r="B471" s="14" t="n"/>
      <c r="C471" s="14" t="n"/>
      <c r="D471" s="14" t="n"/>
      <c r="E471" s="3">
        <f>IF(A471="","",SUMIFS(Payments!$C$5:$C$504,Payments!$B$5:$B$504,A471))</f>
        <v/>
      </c>
      <c r="F471" s="9">
        <f>IF(A471="","",COUNTIFS(Payments!$B$5:$B$504,A471))</f>
        <v/>
      </c>
      <c r="G471" s="5">
        <f>IF(OR(A471="",F471=0),"",_xlfn.MAXIFS(Payments!$A$5:$A$504,Payments!$B$5:$B$504,A471))</f>
        <v/>
      </c>
      <c r="H471" s="14" t="n"/>
    </row>
    <row r="472">
      <c r="A472" s="14" t="n"/>
      <c r="B472" s="14" t="n"/>
      <c r="C472" s="14" t="n"/>
      <c r="D472" s="14" t="n"/>
      <c r="E472" s="3">
        <f>IF(A472="","",SUMIFS(Payments!$C$5:$C$504,Payments!$B$5:$B$504,A472))</f>
        <v/>
      </c>
      <c r="F472" s="9">
        <f>IF(A472="","",COUNTIFS(Payments!$B$5:$B$504,A472))</f>
        <v/>
      </c>
      <c r="G472" s="5">
        <f>IF(OR(A472="",F472=0),"",_xlfn.MAXIFS(Payments!$A$5:$A$504,Payments!$B$5:$B$504,A472))</f>
        <v/>
      </c>
      <c r="H472" s="14" t="n"/>
    </row>
    <row r="473">
      <c r="A473" s="14" t="n"/>
      <c r="B473" s="14" t="n"/>
      <c r="C473" s="14" t="n"/>
      <c r="D473" s="14" t="n"/>
      <c r="E473" s="3">
        <f>IF(A473="","",SUMIFS(Payments!$C$5:$C$504,Payments!$B$5:$B$504,A473))</f>
        <v/>
      </c>
      <c r="F473" s="9">
        <f>IF(A473="","",COUNTIFS(Payments!$B$5:$B$504,A473))</f>
        <v/>
      </c>
      <c r="G473" s="5">
        <f>IF(OR(A473="",F473=0),"",_xlfn.MAXIFS(Payments!$A$5:$A$504,Payments!$B$5:$B$504,A473))</f>
        <v/>
      </c>
      <c r="H473" s="14" t="n"/>
    </row>
    <row r="474">
      <c r="A474" s="14" t="n"/>
      <c r="B474" s="14" t="n"/>
      <c r="C474" s="14" t="n"/>
      <c r="D474" s="14" t="n"/>
      <c r="E474" s="3">
        <f>IF(A474="","",SUMIFS(Payments!$C$5:$C$504,Payments!$B$5:$B$504,A474))</f>
        <v/>
      </c>
      <c r="F474" s="9">
        <f>IF(A474="","",COUNTIFS(Payments!$B$5:$B$504,A474))</f>
        <v/>
      </c>
      <c r="G474" s="5">
        <f>IF(OR(A474="",F474=0),"",_xlfn.MAXIFS(Payments!$A$5:$A$504,Payments!$B$5:$B$504,A474))</f>
        <v/>
      </c>
      <c r="H474" s="14" t="n"/>
    </row>
    <row r="475">
      <c r="A475" s="14" t="n"/>
      <c r="B475" s="14" t="n"/>
      <c r="C475" s="14" t="n"/>
      <c r="D475" s="14" t="n"/>
      <c r="E475" s="3">
        <f>IF(A475="","",SUMIFS(Payments!$C$5:$C$504,Payments!$B$5:$B$504,A475))</f>
        <v/>
      </c>
      <c r="F475" s="9">
        <f>IF(A475="","",COUNTIFS(Payments!$B$5:$B$504,A475))</f>
        <v/>
      </c>
      <c r="G475" s="5">
        <f>IF(OR(A475="",F475=0),"",_xlfn.MAXIFS(Payments!$A$5:$A$504,Payments!$B$5:$B$504,A475))</f>
        <v/>
      </c>
      <c r="H475" s="14" t="n"/>
    </row>
    <row r="476">
      <c r="A476" s="14" t="n"/>
      <c r="B476" s="14" t="n"/>
      <c r="C476" s="14" t="n"/>
      <c r="D476" s="14" t="n"/>
      <c r="E476" s="3">
        <f>IF(A476="","",SUMIFS(Payments!$C$5:$C$504,Payments!$B$5:$B$504,A476))</f>
        <v/>
      </c>
      <c r="F476" s="9">
        <f>IF(A476="","",COUNTIFS(Payments!$B$5:$B$504,A476))</f>
        <v/>
      </c>
      <c r="G476" s="5">
        <f>IF(OR(A476="",F476=0),"",_xlfn.MAXIFS(Payments!$A$5:$A$504,Payments!$B$5:$B$504,A476))</f>
        <v/>
      </c>
      <c r="H476" s="14" t="n"/>
    </row>
    <row r="477">
      <c r="A477" s="14" t="n"/>
      <c r="B477" s="14" t="n"/>
      <c r="C477" s="14" t="n"/>
      <c r="D477" s="14" t="n"/>
      <c r="E477" s="3">
        <f>IF(A477="","",SUMIFS(Payments!$C$5:$C$504,Payments!$B$5:$B$504,A477))</f>
        <v/>
      </c>
      <c r="F477" s="9">
        <f>IF(A477="","",COUNTIFS(Payments!$B$5:$B$504,A477))</f>
        <v/>
      </c>
      <c r="G477" s="5">
        <f>IF(OR(A477="",F477=0),"",_xlfn.MAXIFS(Payments!$A$5:$A$504,Payments!$B$5:$B$504,A477))</f>
        <v/>
      </c>
      <c r="H477" s="14" t="n"/>
    </row>
    <row r="478">
      <c r="A478" s="14" t="n"/>
      <c r="B478" s="14" t="n"/>
      <c r="C478" s="14" t="n"/>
      <c r="D478" s="14" t="n"/>
      <c r="E478" s="3">
        <f>IF(A478="","",SUMIFS(Payments!$C$5:$C$504,Payments!$B$5:$B$504,A478))</f>
        <v/>
      </c>
      <c r="F478" s="9">
        <f>IF(A478="","",COUNTIFS(Payments!$B$5:$B$504,A478))</f>
        <v/>
      </c>
      <c r="G478" s="5">
        <f>IF(OR(A478="",F478=0),"",_xlfn.MAXIFS(Payments!$A$5:$A$504,Payments!$B$5:$B$504,A478))</f>
        <v/>
      </c>
      <c r="H478" s="14" t="n"/>
    </row>
    <row r="479">
      <c r="A479" s="14" t="n"/>
      <c r="B479" s="14" t="n"/>
      <c r="C479" s="14" t="n"/>
      <c r="D479" s="14" t="n"/>
      <c r="E479" s="3">
        <f>IF(A479="","",SUMIFS(Payments!$C$5:$C$504,Payments!$B$5:$B$504,A479))</f>
        <v/>
      </c>
      <c r="F479" s="9">
        <f>IF(A479="","",COUNTIFS(Payments!$B$5:$B$504,A479))</f>
        <v/>
      </c>
      <c r="G479" s="5">
        <f>IF(OR(A479="",F479=0),"",_xlfn.MAXIFS(Payments!$A$5:$A$504,Payments!$B$5:$B$504,A479))</f>
        <v/>
      </c>
      <c r="H479" s="14" t="n"/>
    </row>
    <row r="480">
      <c r="A480" s="14" t="n"/>
      <c r="B480" s="14" t="n"/>
      <c r="C480" s="14" t="n"/>
      <c r="D480" s="14" t="n"/>
      <c r="E480" s="3">
        <f>IF(A480="","",SUMIFS(Payments!$C$5:$C$504,Payments!$B$5:$B$504,A480))</f>
        <v/>
      </c>
      <c r="F480" s="9">
        <f>IF(A480="","",COUNTIFS(Payments!$B$5:$B$504,A480))</f>
        <v/>
      </c>
      <c r="G480" s="5">
        <f>IF(OR(A480="",F480=0),"",_xlfn.MAXIFS(Payments!$A$5:$A$504,Payments!$B$5:$B$504,A480))</f>
        <v/>
      </c>
      <c r="H480" s="14" t="n"/>
    </row>
    <row r="481">
      <c r="A481" s="14" t="n"/>
      <c r="B481" s="14" t="n"/>
      <c r="C481" s="14" t="n"/>
      <c r="D481" s="14" t="n"/>
      <c r="E481" s="3">
        <f>IF(A481="","",SUMIFS(Payments!$C$5:$C$504,Payments!$B$5:$B$504,A481))</f>
        <v/>
      </c>
      <c r="F481" s="9">
        <f>IF(A481="","",COUNTIFS(Payments!$B$5:$B$504,A481))</f>
        <v/>
      </c>
      <c r="G481" s="5">
        <f>IF(OR(A481="",F481=0),"",_xlfn.MAXIFS(Payments!$A$5:$A$504,Payments!$B$5:$B$504,A481))</f>
        <v/>
      </c>
      <c r="H481" s="14" t="n"/>
    </row>
    <row r="482">
      <c r="A482" s="14" t="n"/>
      <c r="B482" s="14" t="n"/>
      <c r="C482" s="14" t="n"/>
      <c r="D482" s="14" t="n"/>
      <c r="E482" s="3">
        <f>IF(A482="","",SUMIFS(Payments!$C$5:$C$504,Payments!$B$5:$B$504,A482))</f>
        <v/>
      </c>
      <c r="F482" s="9">
        <f>IF(A482="","",COUNTIFS(Payments!$B$5:$B$504,A482))</f>
        <v/>
      </c>
      <c r="G482" s="5">
        <f>IF(OR(A482="",F482=0),"",_xlfn.MAXIFS(Payments!$A$5:$A$504,Payments!$B$5:$B$504,A482))</f>
        <v/>
      </c>
      <c r="H482" s="14" t="n"/>
    </row>
    <row r="483">
      <c r="A483" s="14" t="n"/>
      <c r="B483" s="14" t="n"/>
      <c r="C483" s="14" t="n"/>
      <c r="D483" s="14" t="n"/>
      <c r="E483" s="3">
        <f>IF(A483="","",SUMIFS(Payments!$C$5:$C$504,Payments!$B$5:$B$504,A483))</f>
        <v/>
      </c>
      <c r="F483" s="9">
        <f>IF(A483="","",COUNTIFS(Payments!$B$5:$B$504,A483))</f>
        <v/>
      </c>
      <c r="G483" s="5">
        <f>IF(OR(A483="",F483=0),"",_xlfn.MAXIFS(Payments!$A$5:$A$504,Payments!$B$5:$B$504,A483))</f>
        <v/>
      </c>
      <c r="H483" s="14" t="n"/>
    </row>
    <row r="484">
      <c r="A484" s="14" t="n"/>
      <c r="B484" s="14" t="n"/>
      <c r="C484" s="14" t="n"/>
      <c r="D484" s="14" t="n"/>
      <c r="E484" s="3">
        <f>IF(A484="","",SUMIFS(Payments!$C$5:$C$504,Payments!$B$5:$B$504,A484))</f>
        <v/>
      </c>
      <c r="F484" s="9">
        <f>IF(A484="","",COUNTIFS(Payments!$B$5:$B$504,A484))</f>
        <v/>
      </c>
      <c r="G484" s="5">
        <f>IF(OR(A484="",F484=0),"",_xlfn.MAXIFS(Payments!$A$5:$A$504,Payments!$B$5:$B$504,A484))</f>
        <v/>
      </c>
      <c r="H484" s="14" t="n"/>
    </row>
    <row r="485">
      <c r="A485" s="14" t="n"/>
      <c r="B485" s="14" t="n"/>
      <c r="C485" s="14" t="n"/>
      <c r="D485" s="14" t="n"/>
      <c r="E485" s="3">
        <f>IF(A485="","",SUMIFS(Payments!$C$5:$C$504,Payments!$B$5:$B$504,A485))</f>
        <v/>
      </c>
      <c r="F485" s="9">
        <f>IF(A485="","",COUNTIFS(Payments!$B$5:$B$504,A485))</f>
        <v/>
      </c>
      <c r="G485" s="5">
        <f>IF(OR(A485="",F485=0),"",_xlfn.MAXIFS(Payments!$A$5:$A$504,Payments!$B$5:$B$504,A485))</f>
        <v/>
      </c>
      <c r="H485" s="14" t="n"/>
    </row>
    <row r="486">
      <c r="A486" s="14" t="n"/>
      <c r="B486" s="14" t="n"/>
      <c r="C486" s="14" t="n"/>
      <c r="D486" s="14" t="n"/>
      <c r="E486" s="3">
        <f>IF(A486="","",SUMIFS(Payments!$C$5:$C$504,Payments!$B$5:$B$504,A486))</f>
        <v/>
      </c>
      <c r="F486" s="9">
        <f>IF(A486="","",COUNTIFS(Payments!$B$5:$B$504,A486))</f>
        <v/>
      </c>
      <c r="G486" s="5">
        <f>IF(OR(A486="",F486=0),"",_xlfn.MAXIFS(Payments!$A$5:$A$504,Payments!$B$5:$B$504,A486))</f>
        <v/>
      </c>
      <c r="H486" s="14" t="n"/>
    </row>
    <row r="487">
      <c r="A487" s="14" t="n"/>
      <c r="B487" s="14" t="n"/>
      <c r="C487" s="14" t="n"/>
      <c r="D487" s="14" t="n"/>
      <c r="E487" s="3">
        <f>IF(A487="","",SUMIFS(Payments!$C$5:$C$504,Payments!$B$5:$B$504,A487))</f>
        <v/>
      </c>
      <c r="F487" s="9">
        <f>IF(A487="","",COUNTIFS(Payments!$B$5:$B$504,A487))</f>
        <v/>
      </c>
      <c r="G487" s="5">
        <f>IF(OR(A487="",F487=0),"",_xlfn.MAXIFS(Payments!$A$5:$A$504,Payments!$B$5:$B$504,A487))</f>
        <v/>
      </c>
      <c r="H487" s="14" t="n"/>
    </row>
    <row r="488">
      <c r="A488" s="14" t="n"/>
      <c r="B488" s="14" t="n"/>
      <c r="C488" s="14" t="n"/>
      <c r="D488" s="14" t="n"/>
      <c r="E488" s="3">
        <f>IF(A488="","",SUMIFS(Payments!$C$5:$C$504,Payments!$B$5:$B$504,A488))</f>
        <v/>
      </c>
      <c r="F488" s="9">
        <f>IF(A488="","",COUNTIFS(Payments!$B$5:$B$504,A488))</f>
        <v/>
      </c>
      <c r="G488" s="5">
        <f>IF(OR(A488="",F488=0),"",_xlfn.MAXIFS(Payments!$A$5:$A$504,Payments!$B$5:$B$504,A488))</f>
        <v/>
      </c>
      <c r="H488" s="14" t="n"/>
    </row>
    <row r="489">
      <c r="A489" s="14" t="n"/>
      <c r="B489" s="14" t="n"/>
      <c r="C489" s="14" t="n"/>
      <c r="D489" s="14" t="n"/>
      <c r="E489" s="3">
        <f>IF(A489="","",SUMIFS(Payments!$C$5:$C$504,Payments!$B$5:$B$504,A489))</f>
        <v/>
      </c>
      <c r="F489" s="9">
        <f>IF(A489="","",COUNTIFS(Payments!$B$5:$B$504,A489))</f>
        <v/>
      </c>
      <c r="G489" s="5">
        <f>IF(OR(A489="",F489=0),"",_xlfn.MAXIFS(Payments!$A$5:$A$504,Payments!$B$5:$B$504,A489))</f>
        <v/>
      </c>
      <c r="H489" s="14" t="n"/>
    </row>
    <row r="490">
      <c r="A490" s="14" t="n"/>
      <c r="B490" s="14" t="n"/>
      <c r="C490" s="14" t="n"/>
      <c r="D490" s="14" t="n"/>
      <c r="E490" s="3">
        <f>IF(A490="","",SUMIFS(Payments!$C$5:$C$504,Payments!$B$5:$B$504,A490))</f>
        <v/>
      </c>
      <c r="F490" s="9">
        <f>IF(A490="","",COUNTIFS(Payments!$B$5:$B$504,A490))</f>
        <v/>
      </c>
      <c r="G490" s="5">
        <f>IF(OR(A490="",F490=0),"",_xlfn.MAXIFS(Payments!$A$5:$A$504,Payments!$B$5:$B$504,A490))</f>
        <v/>
      </c>
      <c r="H490" s="14" t="n"/>
    </row>
    <row r="491">
      <c r="A491" s="14" t="n"/>
      <c r="B491" s="14" t="n"/>
      <c r="C491" s="14" t="n"/>
      <c r="D491" s="14" t="n"/>
      <c r="E491" s="3">
        <f>IF(A491="","",SUMIFS(Payments!$C$5:$C$504,Payments!$B$5:$B$504,A491))</f>
        <v/>
      </c>
      <c r="F491" s="9">
        <f>IF(A491="","",COUNTIFS(Payments!$B$5:$B$504,A491))</f>
        <v/>
      </c>
      <c r="G491" s="5">
        <f>IF(OR(A491="",F491=0),"",_xlfn.MAXIFS(Payments!$A$5:$A$504,Payments!$B$5:$B$504,A491))</f>
        <v/>
      </c>
      <c r="H491" s="14" t="n"/>
    </row>
    <row r="492">
      <c r="A492" s="14" t="n"/>
      <c r="B492" s="14" t="n"/>
      <c r="C492" s="14" t="n"/>
      <c r="D492" s="14" t="n"/>
      <c r="E492" s="3">
        <f>IF(A492="","",SUMIFS(Payments!$C$5:$C$504,Payments!$B$5:$B$504,A492))</f>
        <v/>
      </c>
      <c r="F492" s="9">
        <f>IF(A492="","",COUNTIFS(Payments!$B$5:$B$504,A492))</f>
        <v/>
      </c>
      <c r="G492" s="5">
        <f>IF(OR(A492="",F492=0),"",_xlfn.MAXIFS(Payments!$A$5:$A$504,Payments!$B$5:$B$504,A492))</f>
        <v/>
      </c>
      <c r="H492" s="14" t="n"/>
    </row>
    <row r="493">
      <c r="A493" s="14" t="n"/>
      <c r="B493" s="14" t="n"/>
      <c r="C493" s="14" t="n"/>
      <c r="D493" s="14" t="n"/>
      <c r="E493" s="3">
        <f>IF(A493="","",SUMIFS(Payments!$C$5:$C$504,Payments!$B$5:$B$504,A493))</f>
        <v/>
      </c>
      <c r="F493" s="9">
        <f>IF(A493="","",COUNTIFS(Payments!$B$5:$B$504,A493))</f>
        <v/>
      </c>
      <c r="G493" s="5">
        <f>IF(OR(A493="",F493=0),"",_xlfn.MAXIFS(Payments!$A$5:$A$504,Payments!$B$5:$B$504,A493))</f>
        <v/>
      </c>
      <c r="H493" s="14" t="n"/>
    </row>
    <row r="494">
      <c r="A494" s="14" t="n"/>
      <c r="B494" s="14" t="n"/>
      <c r="C494" s="14" t="n"/>
      <c r="D494" s="14" t="n"/>
      <c r="E494" s="3">
        <f>IF(A494="","",SUMIFS(Payments!$C$5:$C$504,Payments!$B$5:$B$504,A494))</f>
        <v/>
      </c>
      <c r="F494" s="9">
        <f>IF(A494="","",COUNTIFS(Payments!$B$5:$B$504,A494))</f>
        <v/>
      </c>
      <c r="G494" s="5">
        <f>IF(OR(A494="",F494=0),"",_xlfn.MAXIFS(Payments!$A$5:$A$504,Payments!$B$5:$B$504,A494))</f>
        <v/>
      </c>
      <c r="H494" s="14" t="n"/>
    </row>
    <row r="495">
      <c r="A495" s="14" t="n"/>
      <c r="B495" s="14" t="n"/>
      <c r="C495" s="14" t="n"/>
      <c r="D495" s="14" t="n"/>
      <c r="E495" s="3">
        <f>IF(A495="","",SUMIFS(Payments!$C$5:$C$504,Payments!$B$5:$B$504,A495))</f>
        <v/>
      </c>
      <c r="F495" s="9">
        <f>IF(A495="","",COUNTIFS(Payments!$B$5:$B$504,A495))</f>
        <v/>
      </c>
      <c r="G495" s="5">
        <f>IF(OR(A495="",F495=0),"",_xlfn.MAXIFS(Payments!$A$5:$A$504,Payments!$B$5:$B$504,A495))</f>
        <v/>
      </c>
      <c r="H495" s="14" t="n"/>
    </row>
    <row r="496">
      <c r="A496" s="14" t="n"/>
      <c r="B496" s="14" t="n"/>
      <c r="C496" s="14" t="n"/>
      <c r="D496" s="14" t="n"/>
      <c r="E496" s="3">
        <f>IF(A496="","",SUMIFS(Payments!$C$5:$C$504,Payments!$B$5:$B$504,A496))</f>
        <v/>
      </c>
      <c r="F496" s="9">
        <f>IF(A496="","",COUNTIFS(Payments!$B$5:$B$504,A496))</f>
        <v/>
      </c>
      <c r="G496" s="5">
        <f>IF(OR(A496="",F496=0),"",_xlfn.MAXIFS(Payments!$A$5:$A$504,Payments!$B$5:$B$504,A496))</f>
        <v/>
      </c>
      <c r="H496" s="14" t="n"/>
    </row>
    <row r="497">
      <c r="A497" s="14" t="n"/>
      <c r="B497" s="14" t="n"/>
      <c r="C497" s="14" t="n"/>
      <c r="D497" s="14" t="n"/>
      <c r="E497" s="3">
        <f>IF(A497="","",SUMIFS(Payments!$C$5:$C$504,Payments!$B$5:$B$504,A497))</f>
        <v/>
      </c>
      <c r="F497" s="9">
        <f>IF(A497="","",COUNTIFS(Payments!$B$5:$B$504,A497))</f>
        <v/>
      </c>
      <c r="G497" s="5">
        <f>IF(OR(A497="",F497=0),"",_xlfn.MAXIFS(Payments!$A$5:$A$504,Payments!$B$5:$B$504,A497))</f>
        <v/>
      </c>
      <c r="H497" s="14" t="n"/>
    </row>
    <row r="498">
      <c r="A498" s="14" t="n"/>
      <c r="B498" s="14" t="n"/>
      <c r="C498" s="14" t="n"/>
      <c r="D498" s="14" t="n"/>
      <c r="E498" s="3">
        <f>IF(A498="","",SUMIFS(Payments!$C$5:$C$504,Payments!$B$5:$B$504,A498))</f>
        <v/>
      </c>
      <c r="F498" s="9">
        <f>IF(A498="","",COUNTIFS(Payments!$B$5:$B$504,A498))</f>
        <v/>
      </c>
      <c r="G498" s="5">
        <f>IF(OR(A498="",F498=0),"",_xlfn.MAXIFS(Payments!$A$5:$A$504,Payments!$B$5:$B$504,A498))</f>
        <v/>
      </c>
      <c r="H498" s="14" t="n"/>
    </row>
    <row r="499">
      <c r="A499" s="14" t="n"/>
      <c r="B499" s="14" t="n"/>
      <c r="C499" s="14" t="n"/>
      <c r="D499" s="14" t="n"/>
      <c r="E499" s="3">
        <f>IF(A499="","",SUMIFS(Payments!$C$5:$C$504,Payments!$B$5:$B$504,A499))</f>
        <v/>
      </c>
      <c r="F499" s="9">
        <f>IF(A499="","",COUNTIFS(Payments!$B$5:$B$504,A499))</f>
        <v/>
      </c>
      <c r="G499" s="5">
        <f>IF(OR(A499="",F499=0),"",_xlfn.MAXIFS(Payments!$A$5:$A$504,Payments!$B$5:$B$504,A499))</f>
        <v/>
      </c>
      <c r="H499" s="14" t="n"/>
    </row>
    <row r="500">
      <c r="A500" s="14" t="n"/>
      <c r="B500" s="14" t="n"/>
      <c r="C500" s="14" t="n"/>
      <c r="D500" s="14" t="n"/>
      <c r="E500" s="3">
        <f>IF(A500="","",SUMIFS(Payments!$C$5:$C$504,Payments!$B$5:$B$504,A500))</f>
        <v/>
      </c>
      <c r="F500" s="9">
        <f>IF(A500="","",COUNTIFS(Payments!$B$5:$B$504,A500))</f>
        <v/>
      </c>
      <c r="G500" s="5">
        <f>IF(OR(A500="",F500=0),"",_xlfn.MAXIFS(Payments!$A$5:$A$504,Payments!$B$5:$B$504,A500))</f>
        <v/>
      </c>
      <c r="H500" s="14" t="n"/>
    </row>
    <row r="501">
      <c r="A501" s="14" t="n"/>
      <c r="B501" s="14" t="n"/>
      <c r="C501" s="14" t="n"/>
      <c r="D501" s="14" t="n"/>
      <c r="E501" s="3">
        <f>IF(A501="","",SUMIFS(Payments!$C$5:$C$504,Payments!$B$5:$B$504,A501))</f>
        <v/>
      </c>
      <c r="F501" s="9">
        <f>IF(A501="","",COUNTIFS(Payments!$B$5:$B$504,A501))</f>
        <v/>
      </c>
      <c r="G501" s="5">
        <f>IF(OR(A501="",F501=0),"",_xlfn.MAXIFS(Payments!$A$5:$A$504,Payments!$B$5:$B$504,A501))</f>
        <v/>
      </c>
      <c r="H501" s="14" t="n"/>
    </row>
    <row r="502">
      <c r="A502" s="14" t="n"/>
      <c r="B502" s="14" t="n"/>
      <c r="C502" s="14" t="n"/>
      <c r="D502" s="14" t="n"/>
      <c r="E502" s="3">
        <f>IF(A502="","",SUMIFS(Payments!$C$5:$C$504,Payments!$B$5:$B$504,A502))</f>
        <v/>
      </c>
      <c r="F502" s="9">
        <f>IF(A502="","",COUNTIFS(Payments!$B$5:$B$504,A502))</f>
        <v/>
      </c>
      <c r="G502" s="5">
        <f>IF(OR(A502="",F502=0),"",_xlfn.MAXIFS(Payments!$A$5:$A$504,Payments!$B$5:$B$504,A502))</f>
        <v/>
      </c>
      <c r="H502" s="14" t="n"/>
    </row>
    <row r="503">
      <c r="A503" s="14" t="n"/>
      <c r="B503" s="14" t="n"/>
      <c r="C503" s="14" t="n"/>
      <c r="D503" s="14" t="n"/>
      <c r="E503" s="3">
        <f>IF(A503="","",SUMIFS(Payments!$C$5:$C$504,Payments!$B$5:$B$504,A503))</f>
        <v/>
      </c>
      <c r="F503" s="9">
        <f>IF(A503="","",COUNTIFS(Payments!$B$5:$B$504,A503))</f>
        <v/>
      </c>
      <c r="G503" s="5">
        <f>IF(OR(A503="",F503=0),"",_xlfn.MAXIFS(Payments!$A$5:$A$504,Payments!$B$5:$B$504,A503))</f>
        <v/>
      </c>
      <c r="H503" s="14" t="n"/>
    </row>
    <row r="504">
      <c r="A504" s="14" t="n"/>
      <c r="B504" s="14" t="n"/>
      <c r="C504" s="14" t="n"/>
      <c r="D504" s="14" t="n"/>
      <c r="E504" s="3">
        <f>IF(A504="","",SUMIFS(Payments!$C$5:$C$504,Payments!$B$5:$B$504,A504))</f>
        <v/>
      </c>
      <c r="F504" s="9">
        <f>IF(A504="","",COUNTIFS(Payments!$B$5:$B$504,A504))</f>
        <v/>
      </c>
      <c r="G504" s="5">
        <f>IF(OR(A504="",F504=0),"",_xlfn.MAXIFS(Payments!$A$5:$A$504,Payments!$B$5:$B$504,A504))</f>
        <v/>
      </c>
      <c r="H504" s="14" t="n"/>
    </row>
  </sheetData>
  <autoFilter ref="A4:H5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2" t="inlineStr">
        <is>
          <t>Payment Methods (edit as needed)</t>
        </is>
      </c>
    </row>
    <row r="2">
      <c r="A2" s="14" t="inlineStr">
        <is>
          <t>Cash</t>
        </is>
      </c>
    </row>
    <row r="3">
      <c r="A3" s="14" t="inlineStr">
        <is>
          <t>Check</t>
        </is>
      </c>
    </row>
    <row r="4">
      <c r="A4" s="14" t="inlineStr">
        <is>
          <t>Credit Card</t>
        </is>
      </c>
    </row>
    <row r="5">
      <c r="A5" s="14" t="inlineStr">
        <is>
          <t>Bank Transfer</t>
        </is>
      </c>
    </row>
    <row r="6">
      <c r="A6" s="14" t="inlineStr">
        <is>
          <t>Venmo</t>
        </is>
      </c>
    </row>
    <row r="7">
      <c r="A7" s="14" t="inlineStr">
        <is>
          <t>Zelle</t>
        </is>
      </c>
    </row>
    <row r="8">
      <c r="A8" s="14" t="inlineStr">
        <is>
          <t>PayPal</t>
        </is>
      </c>
    </row>
    <row r="9">
      <c r="A9" s="1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2026-10-05T01:10:39Z</dcterms:created>
  <dcterms:modified xsi:type="dcterms:W3CDTF">2026-10-05T01:10:39Z</dcterms:modified>
</cp:coreProperties>
</file>
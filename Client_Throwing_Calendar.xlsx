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up" sheetId="1" state="visible" r:id="rId1"/>
    <sheet name="Drill Library" sheetId="2" state="visible" r:id="rId2"/>
    <sheet name="Lists" sheetId="3" state="hidden" r:id="rId3"/>
    <sheet name="Jan" sheetId="4" state="visible" r:id="rId4"/>
    <sheet name="Feb" sheetId="5" state="visible" r:id="rId5"/>
    <sheet name="Mar" sheetId="6" state="visible" r:id="rId6"/>
    <sheet name="Apr" sheetId="7" state="visible" r:id="rId7"/>
    <sheet name="May" sheetId="8" state="visible" r:id="rId8"/>
    <sheet name="Jun" sheetId="9" state="visible" r:id="rId9"/>
    <sheet name="Jul" sheetId="10" state="visible" r:id="rId10"/>
    <sheet name="Aug" sheetId="11" state="visible" r:id="rId11"/>
    <sheet name="Sep" sheetId="12" state="visible" r:id="rId12"/>
    <sheet name="Oct" sheetId="13" state="visible" r:id="rId13"/>
    <sheet name="Nov" sheetId="14" state="visible" r:id="rId14"/>
    <sheet name="Dec" sheetId="15" state="visible" r:id="rId15"/>
  </sheets>
  <definedNames>
    <definedName name="_xlnm.Print_Area" localSheetId="3">'Jan'!$B$1:$H$37</definedName>
    <definedName name="_xlnm.Print_Area" localSheetId="4">'Feb'!$B$1:$H$37</definedName>
    <definedName name="_xlnm.Print_Area" localSheetId="5">'Mar'!$B$1:$H$37</definedName>
    <definedName name="_xlnm.Print_Area" localSheetId="6">'Apr'!$B$1:$H$37</definedName>
    <definedName name="_xlnm.Print_Area" localSheetId="7">'May'!$B$1:$H$37</definedName>
    <definedName name="_xlnm.Print_Area" localSheetId="8">'Jun'!$B$1:$H$37</definedName>
    <definedName name="_xlnm.Print_Area" localSheetId="9">'Jul'!$B$1:$H$37</definedName>
    <definedName name="_xlnm.Print_Area" localSheetId="10">'Aug'!$B$1:$H$37</definedName>
    <definedName name="_xlnm.Print_Area" localSheetId="11">'Sep'!$B$1:$H$37</definedName>
    <definedName name="_xlnm.Print_Area" localSheetId="12">'Oct'!$B$1:$H$37</definedName>
    <definedName name="_xlnm.Print_Area" localSheetId="13">'Nov'!$B$1:$H$37</definedName>
    <definedName name="_xlnm.Print_Area" localSheetId="14">'Dec'!$B$1:$H$37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b val="1"/>
    </font>
    <font>
      <name val="Arial"/>
      <color rgb="000000FF"/>
    </font>
    <font>
      <name val="Arial"/>
      <i val="1"/>
      <color rgb="00595959"/>
      <sz val="9"/>
    </font>
    <font>
      <name val="Arial"/>
      <b val="1"/>
      <color rgb="00FFFFFF"/>
    </font>
    <font>
      <name val="Arial"/>
    </font>
    <font>
      <name val="Arial"/>
      <b val="1"/>
      <color rgb="001F4E78"/>
      <sz val="16"/>
    </font>
    <font>
      <name val="Arial"/>
      <b val="1"/>
      <sz val="11"/>
    </font>
    <font>
      <name val="Arial"/>
      <color rgb="00FFFFFF"/>
    </font>
    <font>
      <name val="Arial"/>
      <b val="1"/>
      <sz val="10"/>
    </font>
    <font>
      <name val="Arial"/>
      <color rgb="000000FF"/>
      <sz val="9"/>
    </font>
    <font>
      <name val="Arial"/>
      <b val="1"/>
      <sz val="9"/>
    </font>
    <font>
      <name val="Arial"/>
      <sz val="8"/>
    </font>
  </fonts>
  <fills count="12">
    <fill>
      <patternFill/>
    </fill>
    <fill>
      <patternFill patternType="gray125"/>
    </fill>
    <fill>
      <patternFill patternType="solid">
        <fgColor rgb="00FFFF00"/>
      </patternFill>
    </fill>
    <fill>
      <patternFill patternType="solid">
        <fgColor rgb="001F4E78"/>
      </patternFill>
    </fill>
    <fill>
      <patternFill patternType="solid">
        <fgColor rgb="00BDD7EE"/>
      </patternFill>
    </fill>
    <fill>
      <patternFill patternType="solid">
        <fgColor rgb="00F8CBAD"/>
      </patternFill>
    </fill>
    <fill>
      <patternFill patternType="solid">
        <fgColor rgb="00C6EFCE"/>
      </patternFill>
    </fill>
    <fill>
      <patternFill patternType="solid">
        <fgColor rgb="00FFC7CE"/>
      </patternFill>
    </fill>
    <fill>
      <patternFill patternType="solid">
        <fgColor rgb="00E4DFEC"/>
      </patternFill>
    </fill>
    <fill>
      <patternFill patternType="solid">
        <fgColor rgb="00FFF2CC"/>
      </patternFill>
    </fill>
    <fill>
      <patternFill patternType="solid">
        <fgColor rgb="00D9D9D9"/>
      </patternFill>
    </fill>
    <fill>
      <patternFill patternType="solid">
        <fgColor rgb="00F2F2F2"/>
      </patternFill>
    </fill>
  </fills>
  <borders count="5">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style="thin">
        <color rgb="00A6A6A6"/>
      </top>
    </border>
    <border>
      <left style="thin">
        <color rgb="00A6A6A6"/>
      </left>
      <right style="thin">
        <color rgb="00A6A6A6"/>
      </right>
    </border>
    <border>
      <left style="thin">
        <color rgb="00A6A6A6"/>
      </left>
      <right style="thin">
        <color rgb="00A6A6A6"/>
      </right>
      <bottom style="thin">
        <color rgb="00A6A6A6"/>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1" fontId="3" fillId="2" borderId="1" pivotButton="0" quotePrefix="0" xfId="0"/>
    <xf numFmtId="0" fontId="5" fillId="3" borderId="0" pivotButton="0" quotePrefix="0" xfId="0"/>
    <xf numFmtId="0" fontId="6" fillId="4" borderId="1" pivotButton="0" quotePrefix="0" xfId="0"/>
    <xf numFmtId="0" fontId="6" fillId="5" borderId="1" pivotButton="0" quotePrefix="0" xfId="0"/>
    <xf numFmtId="0" fontId="6" fillId="6" borderId="1" pivotButton="0" quotePrefix="0" xfId="0"/>
    <xf numFmtId="0" fontId="6" fillId="7" borderId="1" pivotButton="0" quotePrefix="0" xfId="0"/>
    <xf numFmtId="0" fontId="6" fillId="8" borderId="1" pivotButton="0" quotePrefix="0" xfId="0"/>
    <xf numFmtId="0" fontId="6" fillId="9" borderId="1" pivotButton="0" quotePrefix="0" xfId="0"/>
    <xf numFmtId="0" fontId="6" fillId="10" borderId="1" pivotButton="0" quotePrefix="0" xfId="0"/>
    <xf numFmtId="0" fontId="6" fillId="0" borderId="0" pivotButton="0" quotePrefix="0" xfId="0"/>
    <xf numFmtId="0" fontId="3" fillId="0" borderId="0" pivotButton="0" quotePrefix="0" xfId="0"/>
    <xf numFmtId="0" fontId="7" fillId="0" borderId="0" applyAlignment="1" pivotButton="0" quotePrefix="0" xfId="0">
      <alignment horizontal="center"/>
    </xf>
    <xf numFmtId="0" fontId="9" fillId="0" borderId="0" pivotButton="0" quotePrefix="0" xfId="0"/>
    <xf numFmtId="0" fontId="8" fillId="0" borderId="0" pivotButton="0" quotePrefix="0" xfId="0"/>
    <xf numFmtId="0" fontId="8" fillId="0" borderId="0" applyAlignment="1" pivotButton="0" quotePrefix="0" xfId="0">
      <alignment horizontal="right"/>
    </xf>
    <xf numFmtId="0" fontId="5" fillId="3" borderId="0" applyAlignment="1" pivotButton="0" quotePrefix="0" xfId="0">
      <alignment horizontal="center"/>
    </xf>
    <xf numFmtId="0" fontId="10" fillId="11" borderId="2" applyAlignment="1" pivotButton="0" quotePrefix="0" xfId="0">
      <alignment horizontal="right"/>
    </xf>
    <xf numFmtId="0" fontId="11" fillId="0" borderId="3" applyAlignment="1" pivotButton="0" quotePrefix="0" xfId="0">
      <alignment vertical="top" wrapText="1"/>
    </xf>
    <xf numFmtId="0" fontId="11" fillId="0" borderId="4" applyAlignment="1" pivotButton="0" quotePrefix="0" xfId="0">
      <alignment vertical="top" wrapText="1"/>
    </xf>
    <xf numFmtId="0" fontId="11" fillId="0" borderId="1" applyAlignment="1" pivotButton="0" quotePrefix="0" xfId="0">
      <alignment vertical="top" wrapText="1"/>
    </xf>
    <xf numFmtId="0" fontId="0" fillId="0" borderId="1" pivotButton="0" quotePrefix="0" xfId="0"/>
    <xf numFmtId="0" fontId="12" fillId="0" borderId="0" pivotButton="0" quotePrefix="0" xfId="0"/>
    <xf numFmtId="0" fontId="13" fillId="4" borderId="1" applyAlignment="1" pivotButton="0" quotePrefix="0" xfId="0">
      <alignment horizontal="center" wrapText="1"/>
    </xf>
    <xf numFmtId="0" fontId="13" fillId="5" borderId="1" applyAlignment="1" pivotButton="0" quotePrefix="0" xfId="0">
      <alignment horizontal="center" wrapText="1"/>
    </xf>
    <xf numFmtId="0" fontId="13" fillId="6" borderId="1" applyAlignment="1" pivotButton="0" quotePrefix="0" xfId="0">
      <alignment horizontal="center" wrapText="1"/>
    </xf>
    <xf numFmtId="0" fontId="13" fillId="7" borderId="1" applyAlignment="1" pivotButton="0" quotePrefix="0" xfId="0">
      <alignment horizontal="center" wrapText="1"/>
    </xf>
    <xf numFmtId="0" fontId="13" fillId="8" borderId="1" applyAlignment="1" pivotButton="0" quotePrefix="0" xfId="0">
      <alignment horizontal="center" wrapText="1"/>
    </xf>
    <xf numFmtId="0" fontId="13" fillId="9" borderId="1" applyAlignment="1" pivotButton="0" quotePrefix="0" xfId="0">
      <alignment horizontal="center" wrapText="1"/>
    </xf>
    <xf numFmtId="0" fontId="13" fillId="10" borderId="1" applyAlignment="1" pivotButton="0" quotePrefix="0" xfId="0">
      <alignment horizontal="center" wrapText="1"/>
    </xf>
  </cellXfs>
  <cellStyles count="1">
    <cellStyle name="Normal" xfId="0" builtinId="0" hidden="0"/>
  </cellStyles>
  <dxfs count="7">
    <dxf>
      <fill>
        <patternFill patternType="solid">
          <fgColor rgb="00BDD7EE"/>
        </patternFill>
      </fill>
    </dxf>
    <dxf>
      <fill>
        <patternFill patternType="solid">
          <fgColor rgb="00F8CBAD"/>
        </patternFill>
      </fill>
    </dxf>
    <dxf>
      <fill>
        <patternFill patternType="solid">
          <fgColor rgb="00C6EFCE"/>
        </patternFill>
      </fill>
    </dxf>
    <dxf>
      <fill>
        <patternFill patternType="solid">
          <fgColor rgb="00FFC7CE"/>
        </patternFill>
      </fill>
    </dxf>
    <dxf>
      <fill>
        <patternFill patternType="solid">
          <fgColor rgb="00E4DFEC"/>
        </patternFill>
      </fill>
    </dxf>
    <dxf>
      <fill>
        <patternFill patternType="solid">
          <fgColor rgb="00FFF2C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4" customWidth="1" min="1" max="1"/>
    <col width="34" customWidth="1" min="2" max="2"/>
    <col width="50" customWidth="1" min="3" max="3"/>
  </cols>
  <sheetData>
    <row r="1">
      <c r="A1" s="1" t="inlineStr">
        <is>
          <t>Throwing Calendar - Setup</t>
        </is>
      </c>
    </row>
    <row r="3">
      <c r="A3" s="2" t="inlineStr">
        <is>
          <t>Client name</t>
        </is>
      </c>
      <c r="B3" s="3" t="inlineStr">
        <is>
          <t>Client Name</t>
        </is>
      </c>
      <c r="C3" s="4" t="inlineStr">
        <is>
          <t>&lt;- shows at the top of every month</t>
        </is>
      </c>
    </row>
    <row r="4">
      <c r="A4" s="2" t="inlineStr">
        <is>
          <t>Year</t>
        </is>
      </c>
      <c r="B4" s="5" t="n">
        <v>2026</v>
      </c>
      <c r="C4" s="4" t="inlineStr">
        <is>
          <t>&lt;- dates on every month update automatically</t>
        </is>
      </c>
    </row>
    <row r="5">
      <c r="A5" s="2" t="inlineStr">
        <is>
          <t>Coach</t>
        </is>
      </c>
      <c r="B5" s="3" t="inlineStr">
        <is>
          <t>Coach Name</t>
        </is>
      </c>
    </row>
    <row r="8">
      <c r="A8" s="6" t="inlineStr">
        <is>
          <t>Activity Types (color-coded)</t>
        </is>
      </c>
    </row>
    <row r="9">
      <c r="A9" s="7" t="inlineStr">
        <is>
          <t>Throwing Day</t>
        </is>
      </c>
    </row>
    <row r="10">
      <c r="A10" s="8" t="inlineStr">
        <is>
          <t>Bullpen</t>
        </is>
      </c>
    </row>
    <row r="11">
      <c r="A11" s="9" t="inlineStr">
        <is>
          <t>Long Toss</t>
        </is>
      </c>
    </row>
    <row r="12">
      <c r="A12" s="10" t="inlineStr">
        <is>
          <t>Live / Game</t>
        </is>
      </c>
    </row>
    <row r="13">
      <c r="A13" s="11" t="inlineStr">
        <is>
          <t>Arm Care / Recovery</t>
        </is>
      </c>
    </row>
    <row r="14">
      <c r="A14" s="12" t="inlineStr">
        <is>
          <t>Lifting</t>
        </is>
      </c>
    </row>
    <row r="15">
      <c r="A15" s="13" t="inlineStr">
        <is>
          <t>Rest Day</t>
        </is>
      </c>
    </row>
    <row r="18">
      <c r="A18" s="2" t="inlineStr">
        <is>
          <t>How to use</t>
        </is>
      </c>
    </row>
    <row r="19">
      <c r="A19" s="14" t="inlineStr">
        <is>
          <t>1. Fill in the yellow cells above (client name, year, coach).</t>
        </is>
      </c>
    </row>
    <row r="20">
      <c r="A20" s="14" t="inlineStr">
        <is>
          <t>2. Go to any month tab. Each day box has 4 lines:</t>
        </is>
      </c>
    </row>
    <row r="21">
      <c r="A21" s="14" t="inlineStr">
        <is>
          <t xml:space="preserve">     line 1 = date (automatic)</t>
        </is>
      </c>
    </row>
    <row r="22">
      <c r="A22" s="14" t="inlineStr">
        <is>
          <t xml:space="preserve">     line 2 = activity type - pick from the dropdown; the box colors itself</t>
        </is>
      </c>
    </row>
    <row r="23">
      <c r="A23" s="14" t="inlineStr">
        <is>
          <t xml:space="preserve">     lines 3-4 = drills - pick from the Drill Library dropdown or type your own</t>
        </is>
      </c>
    </row>
    <row r="24">
      <c r="A24" s="14" t="inlineStr">
        <is>
          <t>3. Use the Goals / Notes area at the bottom of each month for the plan for that month.</t>
        </is>
      </c>
    </row>
    <row r="25">
      <c r="A25" s="14" t="inlineStr">
        <is>
          <t>4. Add your own drills on the Drill Library tab - they appear in the dropdowns.</t>
        </is>
      </c>
    </row>
    <row r="26">
      <c r="A26" s="14" t="inlineStr">
        <is>
          <t>5. Each month prints on one landscape page to hand to the client.</t>
        </is>
      </c>
    </row>
    <row r="27">
      <c r="A27" s="14" t="inlineStr">
        <is>
          <t>6. The sample entries in January are examples - delete them when you start.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2" customWidth="1" min="1" max="1"/>
    <col width="55" customWidth="1" min="2" max="2"/>
  </cols>
  <sheetData>
    <row r="1">
      <c r="A1" s="6" t="inlineStr">
        <is>
          <t>Drill</t>
        </is>
      </c>
      <c r="B1" s="6" t="inlineStr">
        <is>
          <t>Purpose / Notes</t>
        </is>
      </c>
    </row>
    <row r="2">
      <c r="A2" s="15" t="inlineStr">
        <is>
          <t>Towel Drill</t>
        </is>
      </c>
      <c r="B2" s="15" t="inlineStr">
        <is>
          <t>Mechanics - arm path and extension without a ball</t>
        </is>
      </c>
    </row>
    <row r="3">
      <c r="A3" s="15" t="inlineStr">
        <is>
          <t>Rocker Drill</t>
        </is>
      </c>
      <c r="B3" s="15" t="inlineStr">
        <is>
          <t>Rhythm and weight transfer from a rocking start</t>
        </is>
      </c>
    </row>
    <row r="4">
      <c r="A4" s="15" t="inlineStr">
        <is>
          <t>Hip Hinge / Separation Drill</t>
        </is>
      </c>
      <c r="B4" s="15" t="inlineStr">
        <is>
          <t>Hip-shoulder separation</t>
        </is>
      </c>
    </row>
    <row r="5">
      <c r="A5" s="15" t="inlineStr">
        <is>
          <t>Pivot Pickoff</t>
        </is>
      </c>
      <c r="B5" s="15" t="inlineStr">
        <is>
          <t>Lower half rotation</t>
        </is>
      </c>
    </row>
    <row r="6">
      <c r="A6" s="15" t="inlineStr">
        <is>
          <t>Flat Ground 60ft</t>
        </is>
      </c>
      <c r="B6" s="15" t="inlineStr">
        <is>
          <t>Controlled throwing at 60ft</t>
        </is>
      </c>
    </row>
    <row r="7">
      <c r="A7" s="15" t="inlineStr">
        <is>
          <t>Long Toss to 120ft</t>
        </is>
      </c>
      <c r="B7" s="15" t="inlineStr">
        <is>
          <t>Arm strength - build out distance</t>
        </is>
      </c>
    </row>
    <row r="8">
      <c r="A8" s="15" t="inlineStr">
        <is>
          <t>Long Toss to 180ft+</t>
        </is>
      </c>
      <c r="B8" s="15" t="inlineStr">
        <is>
          <t>Arm strength - max distance</t>
        </is>
      </c>
    </row>
    <row r="9">
      <c r="A9" s="15" t="inlineStr">
        <is>
          <t>Pull-Downs</t>
        </is>
      </c>
      <c r="B9" s="15" t="inlineStr">
        <is>
          <t>Compression throws back in</t>
        </is>
      </c>
    </row>
    <row r="10">
      <c r="A10" s="15" t="inlineStr">
        <is>
          <t>Plyo Ball Wall Throws</t>
        </is>
      </c>
      <c r="B10" s="15" t="inlineStr">
        <is>
          <t>Arm path and deceleration</t>
        </is>
      </c>
    </row>
    <row r="11">
      <c r="A11" s="15" t="inlineStr">
        <is>
          <t>Band Routine (J-Bands)</t>
        </is>
      </c>
      <c r="B11" s="15" t="inlineStr">
        <is>
          <t>Arm care warmup / cooldown</t>
        </is>
      </c>
    </row>
    <row r="12">
      <c r="A12" s="15" t="inlineStr">
        <is>
          <t>Bullpen - 25 pitches</t>
        </is>
      </c>
      <c r="B12" s="15" t="inlineStr">
        <is>
          <t>Command focus</t>
        </is>
      </c>
    </row>
    <row r="13">
      <c r="A13" s="15" t="inlineStr">
        <is>
          <t>Bullpen - 40 pitches</t>
        </is>
      </c>
      <c r="B13" s="15" t="inlineStr">
        <is>
          <t>Mix all pitches</t>
        </is>
      </c>
    </row>
    <row r="14">
      <c r="A14" s="15" t="inlineStr">
        <is>
          <t>Changeup Grip Work</t>
        </is>
      </c>
      <c r="B14" s="15" t="inlineStr">
        <is>
          <t>Feel / spin</t>
        </is>
      </c>
    </row>
    <row r="15">
      <c r="A15" s="15" t="inlineStr">
        <is>
          <t>Breaking Ball Spin Work</t>
        </is>
      </c>
      <c r="B15" s="15" t="inlineStr">
        <is>
          <t>Spin / shape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34" customWidth="1" min="1" max="1"/>
  </cols>
  <sheetData>
    <row r="1">
      <c r="A1" s="2" t="inlineStr">
        <is>
          <t>Activity types (dropdown source)</t>
        </is>
      </c>
    </row>
    <row r="2">
      <c r="A2" s="14" t="inlineStr">
        <is>
          <t>Throwing Day</t>
        </is>
      </c>
    </row>
    <row r="3">
      <c r="A3" s="14" t="inlineStr">
        <is>
          <t>Bullpen</t>
        </is>
      </c>
    </row>
    <row r="4">
      <c r="A4" s="14" t="inlineStr">
        <is>
          <t>Long Toss</t>
        </is>
      </c>
    </row>
    <row r="5">
      <c r="A5" s="14" t="inlineStr">
        <is>
          <t>Live / Game</t>
        </is>
      </c>
    </row>
    <row r="6">
      <c r="A6" s="14" t="inlineStr">
        <is>
          <t>Arm Care / Recovery</t>
        </is>
      </c>
    </row>
    <row r="7">
      <c r="A7" s="14" t="inlineStr">
        <is>
          <t>Lifting</t>
        </is>
      </c>
    </row>
    <row r="8">
      <c r="A8" s="14" t="inlineStr">
        <is>
          <t>Rest Day</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UPPER(TEXT(DATE(Setup!$B$4,1,1),"mmmm yyyy"))&amp;"  -  THROWING CALENDAR"</f>
        <v/>
      </c>
      <c r="J1" s="17">
        <f>DATE(Setup!$B$4,1,1)-WEEKDAY(DATE(Setup!$B$4,1,1))+1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IF(MONTH($J$1+0)=1,DAY($J$1+0),"")</f>
        <v/>
      </c>
      <c r="C5" s="21">
        <f>IF(MONTH($J$1+1)=1,DAY($J$1+1),"")</f>
        <v/>
      </c>
      <c r="D5" s="21">
        <f>IF(MONTH($J$1+2)=1,DAY($J$1+2),"")</f>
        <v/>
      </c>
      <c r="E5" s="21">
        <f>IF(MONTH($J$1+3)=1,DAY($J$1+3),"")</f>
        <v/>
      </c>
      <c r="F5" s="21">
        <f>IF(MONTH($J$1+4)=1,DAY($J$1+4),"")</f>
        <v/>
      </c>
      <c r="G5" s="21">
        <f>IF(MONTH($J$1+5)=1,DAY($J$1+5),"")</f>
        <v/>
      </c>
      <c r="H5" s="21">
        <f>IF(MONTH($J$1+6)=1,DAY($J$1+6),"")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IF(MONTH($J$1+7)=1,DAY($J$1+7),"")</f>
        <v/>
      </c>
      <c r="C9" s="21">
        <f>IF(MONTH($J$1+8)=1,DAY($J$1+8),"")</f>
        <v/>
      </c>
      <c r="D9" s="21">
        <f>IF(MONTH($J$1+9)=1,DAY($J$1+9),"")</f>
        <v/>
      </c>
      <c r="E9" s="21">
        <f>IF(MONTH($J$1+10)=1,DAY($J$1+10),"")</f>
        <v/>
      </c>
      <c r="F9" s="21">
        <f>IF(MONTH($J$1+11)=1,DAY($J$1+11),"")</f>
        <v/>
      </c>
      <c r="G9" s="21">
        <f>IF(MONTH($J$1+12)=1,DAY($J$1+12),"")</f>
        <v/>
      </c>
      <c r="H9" s="21">
        <f>IF(MONTH($J$1+13)=1,DAY($J$1+13),"")</f>
        <v/>
      </c>
    </row>
    <row r="10" ht="17" customHeight="1">
      <c r="B10" s="22" t="n"/>
      <c r="C10" s="22" t="inlineStr">
        <is>
          <t>Throwing Day</t>
        </is>
      </c>
      <c r="D10" s="22" t="inlineStr">
        <is>
          <t>Arm Care / Recovery</t>
        </is>
      </c>
      <c r="E10" s="22" t="inlineStr">
        <is>
          <t>Bullpen</t>
        </is>
      </c>
      <c r="F10" s="22" t="inlineStr">
        <is>
          <t>Rest Day</t>
        </is>
      </c>
      <c r="G10" s="22" t="n"/>
      <c r="H10" s="22" t="n"/>
    </row>
    <row r="11" ht="17" customHeight="1">
      <c r="B11" s="22" t="n"/>
      <c r="C11" s="22" t="inlineStr">
        <is>
          <t>Band Routine (J-Bands)</t>
        </is>
      </c>
      <c r="D11" s="22" t="inlineStr">
        <is>
          <t>Band Routine (J-Bands)</t>
        </is>
      </c>
      <c r="E11" s="22" t="inlineStr">
        <is>
          <t>Towel Drill</t>
        </is>
      </c>
      <c r="F11" s="22" t="n"/>
      <c r="G11" s="22" t="n"/>
      <c r="H11" s="22" t="n"/>
    </row>
    <row r="12" ht="17" customHeight="1">
      <c r="B12" s="23" t="n"/>
      <c r="C12" s="23" t="inlineStr">
        <is>
          <t>Long Toss to 120ft</t>
        </is>
      </c>
      <c r="D12" s="23" t="n"/>
      <c r="E12" s="23" t="inlineStr">
        <is>
          <t>Bullpen - 25 pitches</t>
        </is>
      </c>
      <c r="F12" s="23" t="n"/>
      <c r="G12" s="23" t="n"/>
      <c r="H12" s="23" t="n"/>
    </row>
    <row r="13">
      <c r="B13" s="21">
        <f>IF(MONTH($J$1+14)=1,DAY($J$1+14),"")</f>
        <v/>
      </c>
      <c r="C13" s="21">
        <f>IF(MONTH($J$1+15)=1,DAY($J$1+15),"")</f>
        <v/>
      </c>
      <c r="D13" s="21">
        <f>IF(MONTH($J$1+16)=1,DAY($J$1+16),"")</f>
        <v/>
      </c>
      <c r="E13" s="21">
        <f>IF(MONTH($J$1+17)=1,DAY($J$1+17),"")</f>
        <v/>
      </c>
      <c r="F13" s="21">
        <f>IF(MONTH($J$1+18)=1,DAY($J$1+18),"")</f>
        <v/>
      </c>
      <c r="G13" s="21">
        <f>IF(MONTH($J$1+19)=1,DAY($J$1+19),"")</f>
        <v/>
      </c>
      <c r="H13" s="21">
        <f>IF(MONTH($J$1+20)=1,DAY($J$1+20),"")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IF(MONTH($J$1+21)=1,DAY($J$1+21),"")</f>
        <v/>
      </c>
      <c r="C17" s="21">
        <f>IF(MONTH($J$1+22)=1,DAY($J$1+22),"")</f>
        <v/>
      </c>
      <c r="D17" s="21">
        <f>IF(MONTH($J$1+23)=1,DAY($J$1+23),"")</f>
        <v/>
      </c>
      <c r="E17" s="21">
        <f>IF(MONTH($J$1+24)=1,DAY($J$1+24),"")</f>
        <v/>
      </c>
      <c r="F17" s="21">
        <f>IF(MONTH($J$1+25)=1,DAY($J$1+25),"")</f>
        <v/>
      </c>
      <c r="G17" s="21">
        <f>IF(MONTH($J$1+26)=1,DAY($J$1+26),"")</f>
        <v/>
      </c>
      <c r="H17" s="21">
        <f>IF(MONTH($J$1+27)=1,DAY($J$1+27),"")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IF(MONTH($J$1+28)=1,DAY($J$1+28),"")</f>
        <v/>
      </c>
      <c r="C21" s="21">
        <f>IF(MONTH($J$1+29)=1,DAY($J$1+29),"")</f>
        <v/>
      </c>
      <c r="D21" s="21">
        <f>IF(MONTH($J$1+30)=1,DAY($J$1+30),"")</f>
        <v/>
      </c>
      <c r="E21" s="21">
        <f>IF(MONTH($J$1+31)=1,DAY($J$1+31),"")</f>
        <v/>
      </c>
      <c r="F21" s="21">
        <f>IF(MONTH($J$1+32)=1,DAY($J$1+32),"")</f>
        <v/>
      </c>
      <c r="G21" s="21">
        <f>IF(MONTH($J$1+33)=1,DAY($J$1+33),"")</f>
        <v/>
      </c>
      <c r="H21" s="21">
        <f>IF(MONTH($J$1+34)=1,DAY($J$1+34),"")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IF(MONTH($J$1+35)=1,DAY($J$1+35),"")</f>
        <v/>
      </c>
      <c r="C25" s="21">
        <f>IF(MONTH($J$1+36)=1,DAY($J$1+36),"")</f>
        <v/>
      </c>
      <c r="D25" s="21">
        <f>IF(MONTH($J$1+37)=1,DAY($J$1+37),"")</f>
        <v/>
      </c>
      <c r="E25" s="21">
        <f>IF(MONTH($J$1+38)=1,DAY($J$1+38),"")</f>
        <v/>
      </c>
      <c r="F25" s="21">
        <f>IF(MONTH($J$1+39)=1,DAY($J$1+39),"")</f>
        <v/>
      </c>
      <c r="G25" s="21">
        <f>IF(MONTH($J$1+40)=1,DAY($J$1+40),"")</f>
        <v/>
      </c>
      <c r="H25" s="21">
        <f>IF(MONTH($J$1+41)=1,DAY($J$1+41),"")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inlineStr">
        <is>
          <t>Example: Build long toss distance to 150ft. 2 bullpens per week, command focus on fastball.</t>
        </is>
      </c>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UPPER(TEXT(DATE(Setup!$B$4,2,1),"mmmm yyyy"))&amp;"  -  THROWING CALENDAR"</f>
        <v/>
      </c>
      <c r="J1" s="17">
        <f>DATE(Setup!$B$4,2,1)-WEEKDAY(DATE(Setup!$B$4,2,1))+1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IF(MONTH($J$1+0)=2,DAY($J$1+0),"")</f>
        <v/>
      </c>
      <c r="C5" s="21">
        <f>IF(MONTH($J$1+1)=2,DAY($J$1+1),"")</f>
        <v/>
      </c>
      <c r="D5" s="21">
        <f>IF(MONTH($J$1+2)=2,DAY($J$1+2),"")</f>
        <v/>
      </c>
      <c r="E5" s="21">
        <f>IF(MONTH($J$1+3)=2,DAY($J$1+3),"")</f>
        <v/>
      </c>
      <c r="F5" s="21">
        <f>IF(MONTH($J$1+4)=2,DAY($J$1+4),"")</f>
        <v/>
      </c>
      <c r="G5" s="21">
        <f>IF(MONTH($J$1+5)=2,DAY($J$1+5),"")</f>
        <v/>
      </c>
      <c r="H5" s="21">
        <f>IF(MONTH($J$1+6)=2,DAY($J$1+6),"")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IF(MONTH($J$1+7)=2,DAY($J$1+7),"")</f>
        <v/>
      </c>
      <c r="C9" s="21">
        <f>IF(MONTH($J$1+8)=2,DAY($J$1+8),"")</f>
        <v/>
      </c>
      <c r="D9" s="21">
        <f>IF(MONTH($J$1+9)=2,DAY($J$1+9),"")</f>
        <v/>
      </c>
      <c r="E9" s="21">
        <f>IF(MONTH($J$1+10)=2,DAY($J$1+10),"")</f>
        <v/>
      </c>
      <c r="F9" s="21">
        <f>IF(MONTH($J$1+11)=2,DAY($J$1+11),"")</f>
        <v/>
      </c>
      <c r="G9" s="21">
        <f>IF(MONTH($J$1+12)=2,DAY($J$1+12),"")</f>
        <v/>
      </c>
      <c r="H9" s="21">
        <f>IF(MONTH($J$1+13)=2,DAY($J$1+13),"")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IF(MONTH($J$1+14)=2,DAY($J$1+14),"")</f>
        <v/>
      </c>
      <c r="C13" s="21">
        <f>IF(MONTH($J$1+15)=2,DAY($J$1+15),"")</f>
        <v/>
      </c>
      <c r="D13" s="21">
        <f>IF(MONTH($J$1+16)=2,DAY($J$1+16),"")</f>
        <v/>
      </c>
      <c r="E13" s="21">
        <f>IF(MONTH($J$1+17)=2,DAY($J$1+17),"")</f>
        <v/>
      </c>
      <c r="F13" s="21">
        <f>IF(MONTH($J$1+18)=2,DAY($J$1+18),"")</f>
        <v/>
      </c>
      <c r="G13" s="21">
        <f>IF(MONTH($J$1+19)=2,DAY($J$1+19),"")</f>
        <v/>
      </c>
      <c r="H13" s="21">
        <f>IF(MONTH($J$1+20)=2,DAY($J$1+20),"")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IF(MONTH($J$1+21)=2,DAY($J$1+21),"")</f>
        <v/>
      </c>
      <c r="C17" s="21">
        <f>IF(MONTH($J$1+22)=2,DAY($J$1+22),"")</f>
        <v/>
      </c>
      <c r="D17" s="21">
        <f>IF(MONTH($J$1+23)=2,DAY($J$1+23),"")</f>
        <v/>
      </c>
      <c r="E17" s="21">
        <f>IF(MONTH($J$1+24)=2,DAY($J$1+24),"")</f>
        <v/>
      </c>
      <c r="F17" s="21">
        <f>IF(MONTH($J$1+25)=2,DAY($J$1+25),"")</f>
        <v/>
      </c>
      <c r="G17" s="21">
        <f>IF(MONTH($J$1+26)=2,DAY($J$1+26),"")</f>
        <v/>
      </c>
      <c r="H17" s="21">
        <f>IF(MONTH($J$1+27)=2,DAY($J$1+27),"")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IF(MONTH($J$1+28)=2,DAY($J$1+28),"")</f>
        <v/>
      </c>
      <c r="C21" s="21">
        <f>IF(MONTH($J$1+29)=2,DAY($J$1+29),"")</f>
        <v/>
      </c>
      <c r="D21" s="21">
        <f>IF(MONTH($J$1+30)=2,DAY($J$1+30),"")</f>
        <v/>
      </c>
      <c r="E21" s="21">
        <f>IF(MONTH($J$1+31)=2,DAY($J$1+31),"")</f>
        <v/>
      </c>
      <c r="F21" s="21">
        <f>IF(MONTH($J$1+32)=2,DAY($J$1+32),"")</f>
        <v/>
      </c>
      <c r="G21" s="21">
        <f>IF(MONTH($J$1+33)=2,DAY($J$1+33),"")</f>
        <v/>
      </c>
      <c r="H21" s="21">
        <f>IF(MONTH($J$1+34)=2,DAY($J$1+34),"")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IF(MONTH($J$1+35)=2,DAY($J$1+35),"")</f>
        <v/>
      </c>
      <c r="C25" s="21">
        <f>IF(MONTH($J$1+36)=2,DAY($J$1+36),"")</f>
        <v/>
      </c>
      <c r="D25" s="21">
        <f>IF(MONTH($J$1+37)=2,DAY($J$1+37),"")</f>
        <v/>
      </c>
      <c r="E25" s="21">
        <f>IF(MONTH($J$1+38)=2,DAY($J$1+38),"")</f>
        <v/>
      </c>
      <c r="F25" s="21">
        <f>IF(MONTH($J$1+39)=2,DAY($J$1+39),"")</f>
        <v/>
      </c>
      <c r="G25" s="21">
        <f>IF(MONTH($J$1+40)=2,DAY($J$1+40),"")</f>
        <v/>
      </c>
      <c r="H25" s="21">
        <f>IF(MONTH($J$1+41)=2,DAY($J$1+41),"")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UPPER(TEXT(DATE(Setup!$B$4,3,1),"mmmm yyyy"))&amp;"  -  THROWING CALENDAR"</f>
        <v/>
      </c>
      <c r="J1" s="17">
        <f>DATE(Setup!$B$4,3,1)-WEEKDAY(DATE(Setup!$B$4,3,1))+1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IF(MONTH($J$1+0)=3,DAY($J$1+0),"")</f>
        <v/>
      </c>
      <c r="C5" s="21">
        <f>IF(MONTH($J$1+1)=3,DAY($J$1+1),"")</f>
        <v/>
      </c>
      <c r="D5" s="21">
        <f>IF(MONTH($J$1+2)=3,DAY($J$1+2),"")</f>
        <v/>
      </c>
      <c r="E5" s="21">
        <f>IF(MONTH($J$1+3)=3,DAY($J$1+3),"")</f>
        <v/>
      </c>
      <c r="F5" s="21">
        <f>IF(MONTH($J$1+4)=3,DAY($J$1+4),"")</f>
        <v/>
      </c>
      <c r="G5" s="21">
        <f>IF(MONTH($J$1+5)=3,DAY($J$1+5),"")</f>
        <v/>
      </c>
      <c r="H5" s="21">
        <f>IF(MONTH($J$1+6)=3,DAY($J$1+6),"")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IF(MONTH($J$1+7)=3,DAY($J$1+7),"")</f>
        <v/>
      </c>
      <c r="C9" s="21">
        <f>IF(MONTH($J$1+8)=3,DAY($J$1+8),"")</f>
        <v/>
      </c>
      <c r="D9" s="21">
        <f>IF(MONTH($J$1+9)=3,DAY($J$1+9),"")</f>
        <v/>
      </c>
      <c r="E9" s="21">
        <f>IF(MONTH($J$1+10)=3,DAY($J$1+10),"")</f>
        <v/>
      </c>
      <c r="F9" s="21">
        <f>IF(MONTH($J$1+11)=3,DAY($J$1+11),"")</f>
        <v/>
      </c>
      <c r="G9" s="21">
        <f>IF(MONTH($J$1+12)=3,DAY($J$1+12),"")</f>
        <v/>
      </c>
      <c r="H9" s="21">
        <f>IF(MONTH($J$1+13)=3,DAY($J$1+13),"")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IF(MONTH($J$1+14)=3,DAY($J$1+14),"")</f>
        <v/>
      </c>
      <c r="C13" s="21">
        <f>IF(MONTH($J$1+15)=3,DAY($J$1+15),"")</f>
        <v/>
      </c>
      <c r="D13" s="21">
        <f>IF(MONTH($J$1+16)=3,DAY($J$1+16),"")</f>
        <v/>
      </c>
      <c r="E13" s="21">
        <f>IF(MONTH($J$1+17)=3,DAY($J$1+17),"")</f>
        <v/>
      </c>
      <c r="F13" s="21">
        <f>IF(MONTH($J$1+18)=3,DAY($J$1+18),"")</f>
        <v/>
      </c>
      <c r="G13" s="21">
        <f>IF(MONTH($J$1+19)=3,DAY($J$1+19),"")</f>
        <v/>
      </c>
      <c r="H13" s="21">
        <f>IF(MONTH($J$1+20)=3,DAY($J$1+20),"")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IF(MONTH($J$1+21)=3,DAY($J$1+21),"")</f>
        <v/>
      </c>
      <c r="C17" s="21">
        <f>IF(MONTH($J$1+22)=3,DAY($J$1+22),"")</f>
        <v/>
      </c>
      <c r="D17" s="21">
        <f>IF(MONTH($J$1+23)=3,DAY($J$1+23),"")</f>
        <v/>
      </c>
      <c r="E17" s="21">
        <f>IF(MONTH($J$1+24)=3,DAY($J$1+24),"")</f>
        <v/>
      </c>
      <c r="F17" s="21">
        <f>IF(MONTH($J$1+25)=3,DAY($J$1+25),"")</f>
        <v/>
      </c>
      <c r="G17" s="21">
        <f>IF(MONTH($J$1+26)=3,DAY($J$1+26),"")</f>
        <v/>
      </c>
      <c r="H17" s="21">
        <f>IF(MONTH($J$1+27)=3,DAY($J$1+27),"")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IF(MONTH($J$1+28)=3,DAY($J$1+28),"")</f>
        <v/>
      </c>
      <c r="C21" s="21">
        <f>IF(MONTH($J$1+29)=3,DAY($J$1+29),"")</f>
        <v/>
      </c>
      <c r="D21" s="21">
        <f>IF(MONTH($J$1+30)=3,DAY($J$1+30),"")</f>
        <v/>
      </c>
      <c r="E21" s="21">
        <f>IF(MONTH($J$1+31)=3,DAY($J$1+31),"")</f>
        <v/>
      </c>
      <c r="F21" s="21">
        <f>IF(MONTH($J$1+32)=3,DAY($J$1+32),"")</f>
        <v/>
      </c>
      <c r="G21" s="21">
        <f>IF(MONTH($J$1+33)=3,DAY($J$1+33),"")</f>
        <v/>
      </c>
      <c r="H21" s="21">
        <f>IF(MONTH($J$1+34)=3,DAY($J$1+34),"")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IF(MONTH($J$1+35)=3,DAY($J$1+35),"")</f>
        <v/>
      </c>
      <c r="C25" s="21">
        <f>IF(MONTH($J$1+36)=3,DAY($J$1+36),"")</f>
        <v/>
      </c>
      <c r="D25" s="21">
        <f>IF(MONTH($J$1+37)=3,DAY($J$1+37),"")</f>
        <v/>
      </c>
      <c r="E25" s="21">
        <f>IF(MONTH($J$1+38)=3,DAY($J$1+38),"")</f>
        <v/>
      </c>
      <c r="F25" s="21">
        <f>IF(MONTH($J$1+39)=3,DAY($J$1+39),"")</f>
        <v/>
      </c>
      <c r="G25" s="21">
        <f>IF(MONTH($J$1+40)=3,DAY($J$1+40),"")</f>
        <v/>
      </c>
      <c r="H25" s="21">
        <f>IF(MONTH($J$1+41)=3,DAY($J$1+41),"")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UPPER(TEXT(DATE(Setup!$B$4,4,1),"mmmm yyyy"))&amp;"  -  THROWING CALENDAR"</f>
        <v/>
      </c>
      <c r="J1" s="17">
        <f>DATE(Setup!$B$4,4,1)-WEEKDAY(DATE(Setup!$B$4,4,1))+1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IF(MONTH($J$1+0)=4,DAY($J$1+0),"")</f>
        <v/>
      </c>
      <c r="C5" s="21">
        <f>IF(MONTH($J$1+1)=4,DAY($J$1+1),"")</f>
        <v/>
      </c>
      <c r="D5" s="21">
        <f>IF(MONTH($J$1+2)=4,DAY($J$1+2),"")</f>
        <v/>
      </c>
      <c r="E5" s="21">
        <f>IF(MONTH($J$1+3)=4,DAY($J$1+3),"")</f>
        <v/>
      </c>
      <c r="F5" s="21">
        <f>IF(MONTH($J$1+4)=4,DAY($J$1+4),"")</f>
        <v/>
      </c>
      <c r="G5" s="21">
        <f>IF(MONTH($J$1+5)=4,DAY($J$1+5),"")</f>
        <v/>
      </c>
      <c r="H5" s="21">
        <f>IF(MONTH($J$1+6)=4,DAY($J$1+6),"")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IF(MONTH($J$1+7)=4,DAY($J$1+7),"")</f>
        <v/>
      </c>
      <c r="C9" s="21">
        <f>IF(MONTH($J$1+8)=4,DAY($J$1+8),"")</f>
        <v/>
      </c>
      <c r="D9" s="21">
        <f>IF(MONTH($J$1+9)=4,DAY($J$1+9),"")</f>
        <v/>
      </c>
      <c r="E9" s="21">
        <f>IF(MONTH($J$1+10)=4,DAY($J$1+10),"")</f>
        <v/>
      </c>
      <c r="F9" s="21">
        <f>IF(MONTH($J$1+11)=4,DAY($J$1+11),"")</f>
        <v/>
      </c>
      <c r="G9" s="21">
        <f>IF(MONTH($J$1+12)=4,DAY($J$1+12),"")</f>
        <v/>
      </c>
      <c r="H9" s="21">
        <f>IF(MONTH($J$1+13)=4,DAY($J$1+13),"")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IF(MONTH($J$1+14)=4,DAY($J$1+14),"")</f>
        <v/>
      </c>
      <c r="C13" s="21">
        <f>IF(MONTH($J$1+15)=4,DAY($J$1+15),"")</f>
        <v/>
      </c>
      <c r="D13" s="21">
        <f>IF(MONTH($J$1+16)=4,DAY($J$1+16),"")</f>
        <v/>
      </c>
      <c r="E13" s="21">
        <f>IF(MONTH($J$1+17)=4,DAY($J$1+17),"")</f>
        <v/>
      </c>
      <c r="F13" s="21">
        <f>IF(MONTH($J$1+18)=4,DAY($J$1+18),"")</f>
        <v/>
      </c>
      <c r="G13" s="21">
        <f>IF(MONTH($J$1+19)=4,DAY($J$1+19),"")</f>
        <v/>
      </c>
      <c r="H13" s="21">
        <f>IF(MONTH($J$1+20)=4,DAY($J$1+20),"")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IF(MONTH($J$1+21)=4,DAY($J$1+21),"")</f>
        <v/>
      </c>
      <c r="C17" s="21">
        <f>IF(MONTH($J$1+22)=4,DAY($J$1+22),"")</f>
        <v/>
      </c>
      <c r="D17" s="21">
        <f>IF(MONTH($J$1+23)=4,DAY($J$1+23),"")</f>
        <v/>
      </c>
      <c r="E17" s="21">
        <f>IF(MONTH($J$1+24)=4,DAY($J$1+24),"")</f>
        <v/>
      </c>
      <c r="F17" s="21">
        <f>IF(MONTH($J$1+25)=4,DAY($J$1+25),"")</f>
        <v/>
      </c>
      <c r="G17" s="21">
        <f>IF(MONTH($J$1+26)=4,DAY($J$1+26),"")</f>
        <v/>
      </c>
      <c r="H17" s="21">
        <f>IF(MONTH($J$1+27)=4,DAY($J$1+27),"")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IF(MONTH($J$1+28)=4,DAY($J$1+28),"")</f>
        <v/>
      </c>
      <c r="C21" s="21">
        <f>IF(MONTH($J$1+29)=4,DAY($J$1+29),"")</f>
        <v/>
      </c>
      <c r="D21" s="21">
        <f>IF(MONTH($J$1+30)=4,DAY($J$1+30),"")</f>
        <v/>
      </c>
      <c r="E21" s="21">
        <f>IF(MONTH($J$1+31)=4,DAY($J$1+31),"")</f>
        <v/>
      </c>
      <c r="F21" s="21">
        <f>IF(MONTH($J$1+32)=4,DAY($J$1+32),"")</f>
        <v/>
      </c>
      <c r="G21" s="21">
        <f>IF(MONTH($J$1+33)=4,DAY($J$1+33),"")</f>
        <v/>
      </c>
      <c r="H21" s="21">
        <f>IF(MONTH($J$1+34)=4,DAY($J$1+34),"")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IF(MONTH($J$1+35)=4,DAY($J$1+35),"")</f>
        <v/>
      </c>
      <c r="C25" s="21">
        <f>IF(MONTH($J$1+36)=4,DAY($J$1+36),"")</f>
        <v/>
      </c>
      <c r="D25" s="21">
        <f>IF(MONTH($J$1+37)=4,DAY($J$1+37),"")</f>
        <v/>
      </c>
      <c r="E25" s="21">
        <f>IF(MONTH($J$1+38)=4,DAY($J$1+38),"")</f>
        <v/>
      </c>
      <c r="F25" s="21">
        <f>IF(MONTH($J$1+39)=4,DAY($J$1+39),"")</f>
        <v/>
      </c>
      <c r="G25" s="21">
        <f>IF(MONTH($J$1+40)=4,DAY($J$1+40),"")</f>
        <v/>
      </c>
      <c r="H25" s="21">
        <f>IF(MONTH($J$1+41)=4,DAY($J$1+41),"")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UPPER(TEXT(DATE(Setup!$B$4,5,1),"mmmm yyyy"))&amp;"  -  THROWING CALENDAR"</f>
        <v/>
      </c>
      <c r="J1" s="17">
        <f>DATE(Setup!$B$4,5,1)-WEEKDAY(DATE(Setup!$B$4,5,1))+1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IF(MONTH($J$1+0)=5,DAY($J$1+0),"")</f>
        <v/>
      </c>
      <c r="C5" s="21">
        <f>IF(MONTH($J$1+1)=5,DAY($J$1+1),"")</f>
        <v/>
      </c>
      <c r="D5" s="21">
        <f>IF(MONTH($J$1+2)=5,DAY($J$1+2),"")</f>
        <v/>
      </c>
      <c r="E5" s="21">
        <f>IF(MONTH($J$1+3)=5,DAY($J$1+3),"")</f>
        <v/>
      </c>
      <c r="F5" s="21">
        <f>IF(MONTH($J$1+4)=5,DAY($J$1+4),"")</f>
        <v/>
      </c>
      <c r="G5" s="21">
        <f>IF(MONTH($J$1+5)=5,DAY($J$1+5),"")</f>
        <v/>
      </c>
      <c r="H5" s="21">
        <f>IF(MONTH($J$1+6)=5,DAY($J$1+6),"")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IF(MONTH($J$1+7)=5,DAY($J$1+7),"")</f>
        <v/>
      </c>
      <c r="C9" s="21">
        <f>IF(MONTH($J$1+8)=5,DAY($J$1+8),"")</f>
        <v/>
      </c>
      <c r="D9" s="21">
        <f>IF(MONTH($J$1+9)=5,DAY($J$1+9),"")</f>
        <v/>
      </c>
      <c r="E9" s="21">
        <f>IF(MONTH($J$1+10)=5,DAY($J$1+10),"")</f>
        <v/>
      </c>
      <c r="F9" s="21">
        <f>IF(MONTH($J$1+11)=5,DAY($J$1+11),"")</f>
        <v/>
      </c>
      <c r="G9" s="21">
        <f>IF(MONTH($J$1+12)=5,DAY($J$1+12),"")</f>
        <v/>
      </c>
      <c r="H9" s="21">
        <f>IF(MONTH($J$1+13)=5,DAY($J$1+13),"")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IF(MONTH($J$1+14)=5,DAY($J$1+14),"")</f>
        <v/>
      </c>
      <c r="C13" s="21">
        <f>IF(MONTH($J$1+15)=5,DAY($J$1+15),"")</f>
        <v/>
      </c>
      <c r="D13" s="21">
        <f>IF(MONTH($J$1+16)=5,DAY($J$1+16),"")</f>
        <v/>
      </c>
      <c r="E13" s="21">
        <f>IF(MONTH($J$1+17)=5,DAY($J$1+17),"")</f>
        <v/>
      </c>
      <c r="F13" s="21">
        <f>IF(MONTH($J$1+18)=5,DAY($J$1+18),"")</f>
        <v/>
      </c>
      <c r="G13" s="21">
        <f>IF(MONTH($J$1+19)=5,DAY($J$1+19),"")</f>
        <v/>
      </c>
      <c r="H13" s="21">
        <f>IF(MONTH($J$1+20)=5,DAY($J$1+20),"")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IF(MONTH($J$1+21)=5,DAY($J$1+21),"")</f>
        <v/>
      </c>
      <c r="C17" s="21">
        <f>IF(MONTH($J$1+22)=5,DAY($J$1+22),"")</f>
        <v/>
      </c>
      <c r="D17" s="21">
        <f>IF(MONTH($J$1+23)=5,DAY($J$1+23),"")</f>
        <v/>
      </c>
      <c r="E17" s="21">
        <f>IF(MONTH($J$1+24)=5,DAY($J$1+24),"")</f>
        <v/>
      </c>
      <c r="F17" s="21">
        <f>IF(MONTH($J$1+25)=5,DAY($J$1+25),"")</f>
        <v/>
      </c>
      <c r="G17" s="21">
        <f>IF(MONTH($J$1+26)=5,DAY($J$1+26),"")</f>
        <v/>
      </c>
      <c r="H17" s="21">
        <f>IF(MONTH($J$1+27)=5,DAY($J$1+27),"")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IF(MONTH($J$1+28)=5,DAY($J$1+28),"")</f>
        <v/>
      </c>
      <c r="C21" s="21">
        <f>IF(MONTH($J$1+29)=5,DAY($J$1+29),"")</f>
        <v/>
      </c>
      <c r="D21" s="21">
        <f>IF(MONTH($J$1+30)=5,DAY($J$1+30),"")</f>
        <v/>
      </c>
      <c r="E21" s="21">
        <f>IF(MONTH($J$1+31)=5,DAY($J$1+31),"")</f>
        <v/>
      </c>
      <c r="F21" s="21">
        <f>IF(MONTH($J$1+32)=5,DAY($J$1+32),"")</f>
        <v/>
      </c>
      <c r="G21" s="21">
        <f>IF(MONTH($J$1+33)=5,DAY($J$1+33),"")</f>
        <v/>
      </c>
      <c r="H21" s="21">
        <f>IF(MONTH($J$1+34)=5,DAY($J$1+34),"")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IF(MONTH($J$1+35)=5,DAY($J$1+35),"")</f>
        <v/>
      </c>
      <c r="C25" s="21">
        <f>IF(MONTH($J$1+36)=5,DAY($J$1+36),"")</f>
        <v/>
      </c>
      <c r="D25" s="21">
        <f>IF(MONTH($J$1+37)=5,DAY($J$1+37),"")</f>
        <v/>
      </c>
      <c r="E25" s="21">
        <f>IF(MONTH($J$1+38)=5,DAY($J$1+38),"")</f>
        <v/>
      </c>
      <c r="F25" s="21">
        <f>IF(MONTH($J$1+39)=5,DAY($J$1+39),"")</f>
        <v/>
      </c>
      <c r="G25" s="21">
        <f>IF(MONTH($J$1+40)=5,DAY($J$1+40),"")</f>
        <v/>
      </c>
      <c r="H25" s="21">
        <f>IF(MONTH($J$1+41)=5,DAY($J$1+41),"")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UPPER(TEXT(DATE(Setup!$B$4,6,1),"mmmm yyyy"))&amp;"  -  THROWING CALENDAR"</f>
        <v/>
      </c>
      <c r="J1" s="17">
        <f>DATE(Setup!$B$4,6,1)-WEEKDAY(DATE(Setup!$B$4,6,1))+1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IF(MONTH($J$1+0)=6,DAY($J$1+0),"")</f>
        <v/>
      </c>
      <c r="C5" s="21">
        <f>IF(MONTH($J$1+1)=6,DAY($J$1+1),"")</f>
        <v/>
      </c>
      <c r="D5" s="21">
        <f>IF(MONTH($J$1+2)=6,DAY($J$1+2),"")</f>
        <v/>
      </c>
      <c r="E5" s="21">
        <f>IF(MONTH($J$1+3)=6,DAY($J$1+3),"")</f>
        <v/>
      </c>
      <c r="F5" s="21">
        <f>IF(MONTH($J$1+4)=6,DAY($J$1+4),"")</f>
        <v/>
      </c>
      <c r="G5" s="21">
        <f>IF(MONTH($J$1+5)=6,DAY($J$1+5),"")</f>
        <v/>
      </c>
      <c r="H5" s="21">
        <f>IF(MONTH($J$1+6)=6,DAY($J$1+6),"")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IF(MONTH($J$1+7)=6,DAY($J$1+7),"")</f>
        <v/>
      </c>
      <c r="C9" s="21">
        <f>IF(MONTH($J$1+8)=6,DAY($J$1+8),"")</f>
        <v/>
      </c>
      <c r="D9" s="21">
        <f>IF(MONTH($J$1+9)=6,DAY($J$1+9),"")</f>
        <v/>
      </c>
      <c r="E9" s="21">
        <f>IF(MONTH($J$1+10)=6,DAY($J$1+10),"")</f>
        <v/>
      </c>
      <c r="F9" s="21">
        <f>IF(MONTH($J$1+11)=6,DAY($J$1+11),"")</f>
        <v/>
      </c>
      <c r="G9" s="21">
        <f>IF(MONTH($J$1+12)=6,DAY($J$1+12),"")</f>
        <v/>
      </c>
      <c r="H9" s="21">
        <f>IF(MONTH($J$1+13)=6,DAY($J$1+13),"")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IF(MONTH($J$1+14)=6,DAY($J$1+14),"")</f>
        <v/>
      </c>
      <c r="C13" s="21">
        <f>IF(MONTH($J$1+15)=6,DAY($J$1+15),"")</f>
        <v/>
      </c>
      <c r="D13" s="21">
        <f>IF(MONTH($J$1+16)=6,DAY($J$1+16),"")</f>
        <v/>
      </c>
      <c r="E13" s="21">
        <f>IF(MONTH($J$1+17)=6,DAY($J$1+17),"")</f>
        <v/>
      </c>
      <c r="F13" s="21">
        <f>IF(MONTH($J$1+18)=6,DAY($J$1+18),"")</f>
        <v/>
      </c>
      <c r="G13" s="21">
        <f>IF(MONTH($J$1+19)=6,DAY($J$1+19),"")</f>
        <v/>
      </c>
      <c r="H13" s="21">
        <f>IF(MONTH($J$1+20)=6,DAY($J$1+20),"")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IF(MONTH($J$1+21)=6,DAY($J$1+21),"")</f>
        <v/>
      </c>
      <c r="C17" s="21">
        <f>IF(MONTH($J$1+22)=6,DAY($J$1+22),"")</f>
        <v/>
      </c>
      <c r="D17" s="21">
        <f>IF(MONTH($J$1+23)=6,DAY($J$1+23),"")</f>
        <v/>
      </c>
      <c r="E17" s="21">
        <f>IF(MONTH($J$1+24)=6,DAY($J$1+24),"")</f>
        <v/>
      </c>
      <c r="F17" s="21">
        <f>IF(MONTH($J$1+25)=6,DAY($J$1+25),"")</f>
        <v/>
      </c>
      <c r="G17" s="21">
        <f>IF(MONTH($J$1+26)=6,DAY($J$1+26),"")</f>
        <v/>
      </c>
      <c r="H17" s="21">
        <f>IF(MONTH($J$1+27)=6,DAY($J$1+27),"")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IF(MONTH($J$1+28)=6,DAY($J$1+28),"")</f>
        <v/>
      </c>
      <c r="C21" s="21">
        <f>IF(MONTH($J$1+29)=6,DAY($J$1+29),"")</f>
        <v/>
      </c>
      <c r="D21" s="21">
        <f>IF(MONTH($J$1+30)=6,DAY($J$1+30),"")</f>
        <v/>
      </c>
      <c r="E21" s="21">
        <f>IF(MONTH($J$1+31)=6,DAY($J$1+31),"")</f>
        <v/>
      </c>
      <c r="F21" s="21">
        <f>IF(MONTH($J$1+32)=6,DAY($J$1+32),"")</f>
        <v/>
      </c>
      <c r="G21" s="21">
        <f>IF(MONTH($J$1+33)=6,DAY($J$1+33),"")</f>
        <v/>
      </c>
      <c r="H21" s="21">
        <f>IF(MONTH($J$1+34)=6,DAY($J$1+34),"")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IF(MONTH($J$1+35)=6,DAY($J$1+35),"")</f>
        <v/>
      </c>
      <c r="C25" s="21">
        <f>IF(MONTH($J$1+36)=6,DAY($J$1+36),"")</f>
        <v/>
      </c>
      <c r="D25" s="21">
        <f>IF(MONTH($J$1+37)=6,DAY($J$1+37),"")</f>
        <v/>
      </c>
      <c r="E25" s="21">
        <f>IF(MONTH($J$1+38)=6,DAY($J$1+38),"")</f>
        <v/>
      </c>
      <c r="F25" s="21">
        <f>IF(MONTH($J$1+39)=6,DAY($J$1+39),"")</f>
        <v/>
      </c>
      <c r="G25" s="21">
        <f>IF(MONTH($J$1+40)=6,DAY($J$1+40),"")</f>
        <v/>
      </c>
      <c r="H25" s="21">
        <f>IF(MONTH($J$1+41)=6,DAY($J$1+41),"")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UPPER(TEXT(DATE(Setup!$B$4,7,1),"mmmm yyyy"))&amp;"  -  THROWING CALENDAR"</f>
        <v/>
      </c>
      <c r="J1" s="17">
        <f>DATE(Setup!$B$4,7,1)-WEEKDAY(DATE(Setup!$B$4,7,1))+1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IF(MONTH($J$1+0)=7,DAY($J$1+0),"")</f>
        <v/>
      </c>
      <c r="C5" s="21">
        <f>IF(MONTH($J$1+1)=7,DAY($J$1+1),"")</f>
        <v/>
      </c>
      <c r="D5" s="21">
        <f>IF(MONTH($J$1+2)=7,DAY($J$1+2),"")</f>
        <v/>
      </c>
      <c r="E5" s="21">
        <f>IF(MONTH($J$1+3)=7,DAY($J$1+3),"")</f>
        <v/>
      </c>
      <c r="F5" s="21">
        <f>IF(MONTH($J$1+4)=7,DAY($J$1+4),"")</f>
        <v/>
      </c>
      <c r="G5" s="21">
        <f>IF(MONTH($J$1+5)=7,DAY($J$1+5),"")</f>
        <v/>
      </c>
      <c r="H5" s="21">
        <f>IF(MONTH($J$1+6)=7,DAY($J$1+6),"")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IF(MONTH($J$1+7)=7,DAY($J$1+7),"")</f>
        <v/>
      </c>
      <c r="C9" s="21">
        <f>IF(MONTH($J$1+8)=7,DAY($J$1+8),"")</f>
        <v/>
      </c>
      <c r="D9" s="21">
        <f>IF(MONTH($J$1+9)=7,DAY($J$1+9),"")</f>
        <v/>
      </c>
      <c r="E9" s="21">
        <f>IF(MONTH($J$1+10)=7,DAY($J$1+10),"")</f>
        <v/>
      </c>
      <c r="F9" s="21">
        <f>IF(MONTH($J$1+11)=7,DAY($J$1+11),"")</f>
        <v/>
      </c>
      <c r="G9" s="21">
        <f>IF(MONTH($J$1+12)=7,DAY($J$1+12),"")</f>
        <v/>
      </c>
      <c r="H9" s="21">
        <f>IF(MONTH($J$1+13)=7,DAY($J$1+13),"")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IF(MONTH($J$1+14)=7,DAY($J$1+14),"")</f>
        <v/>
      </c>
      <c r="C13" s="21">
        <f>IF(MONTH($J$1+15)=7,DAY($J$1+15),"")</f>
        <v/>
      </c>
      <c r="D13" s="21">
        <f>IF(MONTH($J$1+16)=7,DAY($J$1+16),"")</f>
        <v/>
      </c>
      <c r="E13" s="21">
        <f>IF(MONTH($J$1+17)=7,DAY($J$1+17),"")</f>
        <v/>
      </c>
      <c r="F13" s="21">
        <f>IF(MONTH($J$1+18)=7,DAY($J$1+18),"")</f>
        <v/>
      </c>
      <c r="G13" s="21">
        <f>IF(MONTH($J$1+19)=7,DAY($J$1+19),"")</f>
        <v/>
      </c>
      <c r="H13" s="21">
        <f>IF(MONTH($J$1+20)=7,DAY($J$1+20),"")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IF(MONTH($J$1+21)=7,DAY($J$1+21),"")</f>
        <v/>
      </c>
      <c r="C17" s="21">
        <f>IF(MONTH($J$1+22)=7,DAY($J$1+22),"")</f>
        <v/>
      </c>
      <c r="D17" s="21">
        <f>IF(MONTH($J$1+23)=7,DAY($J$1+23),"")</f>
        <v/>
      </c>
      <c r="E17" s="21">
        <f>IF(MONTH($J$1+24)=7,DAY($J$1+24),"")</f>
        <v/>
      </c>
      <c r="F17" s="21">
        <f>IF(MONTH($J$1+25)=7,DAY($J$1+25),"")</f>
        <v/>
      </c>
      <c r="G17" s="21">
        <f>IF(MONTH($J$1+26)=7,DAY($J$1+26),"")</f>
        <v/>
      </c>
      <c r="H17" s="21">
        <f>IF(MONTH($J$1+27)=7,DAY($J$1+27),"")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IF(MONTH($J$1+28)=7,DAY($J$1+28),"")</f>
        <v/>
      </c>
      <c r="C21" s="21">
        <f>IF(MONTH($J$1+29)=7,DAY($J$1+29),"")</f>
        <v/>
      </c>
      <c r="D21" s="21">
        <f>IF(MONTH($J$1+30)=7,DAY($J$1+30),"")</f>
        <v/>
      </c>
      <c r="E21" s="21">
        <f>IF(MONTH($J$1+31)=7,DAY($J$1+31),"")</f>
        <v/>
      </c>
      <c r="F21" s="21">
        <f>IF(MONTH($J$1+32)=7,DAY($J$1+32),"")</f>
        <v/>
      </c>
      <c r="G21" s="21">
        <f>IF(MONTH($J$1+33)=7,DAY($J$1+33),"")</f>
        <v/>
      </c>
      <c r="H21" s="21">
        <f>IF(MONTH($J$1+34)=7,DAY($J$1+34),"")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IF(MONTH($J$1+35)=7,DAY($J$1+35),"")</f>
        <v/>
      </c>
      <c r="C25" s="21">
        <f>IF(MONTH($J$1+36)=7,DAY($J$1+36),"")</f>
        <v/>
      </c>
      <c r="D25" s="21">
        <f>IF(MONTH($J$1+37)=7,DAY($J$1+37),"")</f>
        <v/>
      </c>
      <c r="E25" s="21">
        <f>IF(MONTH($J$1+38)=7,DAY($J$1+38),"")</f>
        <v/>
      </c>
      <c r="F25" s="21">
        <f>IF(MONTH($J$1+39)=7,DAY($J$1+39),"")</f>
        <v/>
      </c>
      <c r="G25" s="21">
        <f>IF(MONTH($J$1+40)=7,DAY($J$1+40),"")</f>
        <v/>
      </c>
      <c r="H25" s="21">
        <f>IF(MONTH($J$1+41)=7,DAY($J$1+41),"")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UPPER(TEXT(DATE(Setup!$B$4,8,1),"mmmm yyyy"))&amp;"  -  THROWING CALENDAR"</f>
        <v/>
      </c>
      <c r="J1" s="17">
        <f>DATE(Setup!$B$4,8,1)-WEEKDAY(DATE(Setup!$B$4,8,1))+1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IF(MONTH($J$1+0)=8,DAY($J$1+0),"")</f>
        <v/>
      </c>
      <c r="C5" s="21">
        <f>IF(MONTH($J$1+1)=8,DAY($J$1+1),"")</f>
        <v/>
      </c>
      <c r="D5" s="21">
        <f>IF(MONTH($J$1+2)=8,DAY($J$1+2),"")</f>
        <v/>
      </c>
      <c r="E5" s="21">
        <f>IF(MONTH($J$1+3)=8,DAY($J$1+3),"")</f>
        <v/>
      </c>
      <c r="F5" s="21">
        <f>IF(MONTH($J$1+4)=8,DAY($J$1+4),"")</f>
        <v/>
      </c>
      <c r="G5" s="21">
        <f>IF(MONTH($J$1+5)=8,DAY($J$1+5),"")</f>
        <v/>
      </c>
      <c r="H5" s="21">
        <f>IF(MONTH($J$1+6)=8,DAY($J$1+6),"")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IF(MONTH($J$1+7)=8,DAY($J$1+7),"")</f>
        <v/>
      </c>
      <c r="C9" s="21">
        <f>IF(MONTH($J$1+8)=8,DAY($J$1+8),"")</f>
        <v/>
      </c>
      <c r="D9" s="21">
        <f>IF(MONTH($J$1+9)=8,DAY($J$1+9),"")</f>
        <v/>
      </c>
      <c r="E9" s="21">
        <f>IF(MONTH($J$1+10)=8,DAY($J$1+10),"")</f>
        <v/>
      </c>
      <c r="F9" s="21">
        <f>IF(MONTH($J$1+11)=8,DAY($J$1+11),"")</f>
        <v/>
      </c>
      <c r="G9" s="21">
        <f>IF(MONTH($J$1+12)=8,DAY($J$1+12),"")</f>
        <v/>
      </c>
      <c r="H9" s="21">
        <f>IF(MONTH($J$1+13)=8,DAY($J$1+13),"")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IF(MONTH($J$1+14)=8,DAY($J$1+14),"")</f>
        <v/>
      </c>
      <c r="C13" s="21">
        <f>IF(MONTH($J$1+15)=8,DAY($J$1+15),"")</f>
        <v/>
      </c>
      <c r="D13" s="21">
        <f>IF(MONTH($J$1+16)=8,DAY($J$1+16),"")</f>
        <v/>
      </c>
      <c r="E13" s="21">
        <f>IF(MONTH($J$1+17)=8,DAY($J$1+17),"")</f>
        <v/>
      </c>
      <c r="F13" s="21">
        <f>IF(MONTH($J$1+18)=8,DAY($J$1+18),"")</f>
        <v/>
      </c>
      <c r="G13" s="21">
        <f>IF(MONTH($J$1+19)=8,DAY($J$1+19),"")</f>
        <v/>
      </c>
      <c r="H13" s="21">
        <f>IF(MONTH($J$1+20)=8,DAY($J$1+20),"")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IF(MONTH($J$1+21)=8,DAY($J$1+21),"")</f>
        <v/>
      </c>
      <c r="C17" s="21">
        <f>IF(MONTH($J$1+22)=8,DAY($J$1+22),"")</f>
        <v/>
      </c>
      <c r="D17" s="21">
        <f>IF(MONTH($J$1+23)=8,DAY($J$1+23),"")</f>
        <v/>
      </c>
      <c r="E17" s="21">
        <f>IF(MONTH($J$1+24)=8,DAY($J$1+24),"")</f>
        <v/>
      </c>
      <c r="F17" s="21">
        <f>IF(MONTH($J$1+25)=8,DAY($J$1+25),"")</f>
        <v/>
      </c>
      <c r="G17" s="21">
        <f>IF(MONTH($J$1+26)=8,DAY($J$1+26),"")</f>
        <v/>
      </c>
      <c r="H17" s="21">
        <f>IF(MONTH($J$1+27)=8,DAY($J$1+27),"")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IF(MONTH($J$1+28)=8,DAY($J$1+28),"")</f>
        <v/>
      </c>
      <c r="C21" s="21">
        <f>IF(MONTH($J$1+29)=8,DAY($J$1+29),"")</f>
        <v/>
      </c>
      <c r="D21" s="21">
        <f>IF(MONTH($J$1+30)=8,DAY($J$1+30),"")</f>
        <v/>
      </c>
      <c r="E21" s="21">
        <f>IF(MONTH($J$1+31)=8,DAY($J$1+31),"")</f>
        <v/>
      </c>
      <c r="F21" s="21">
        <f>IF(MONTH($J$1+32)=8,DAY($J$1+32),"")</f>
        <v/>
      </c>
      <c r="G21" s="21">
        <f>IF(MONTH($J$1+33)=8,DAY($J$1+33),"")</f>
        <v/>
      </c>
      <c r="H21" s="21">
        <f>IF(MONTH($J$1+34)=8,DAY($J$1+34),"")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IF(MONTH($J$1+35)=8,DAY($J$1+35),"")</f>
        <v/>
      </c>
      <c r="C25" s="21">
        <f>IF(MONTH($J$1+36)=8,DAY($J$1+36),"")</f>
        <v/>
      </c>
      <c r="D25" s="21">
        <f>IF(MONTH($J$1+37)=8,DAY($J$1+37),"")</f>
        <v/>
      </c>
      <c r="E25" s="21">
        <f>IF(MONTH($J$1+38)=8,DAY($J$1+38),"")</f>
        <v/>
      </c>
      <c r="F25" s="21">
        <f>IF(MONTH($J$1+39)=8,DAY($J$1+39),"")</f>
        <v/>
      </c>
      <c r="G25" s="21">
        <f>IF(MONTH($J$1+40)=8,DAY($J$1+40),"")</f>
        <v/>
      </c>
      <c r="H25" s="21">
        <f>IF(MONTH($J$1+41)=8,DAY($J$1+41),"")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2.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UPPER(TEXT(DATE(Setup!$B$4,9,1),"mmmm yyyy"))&amp;"  -  THROWING CALENDAR"</f>
        <v/>
      </c>
      <c r="J1" s="17">
        <f>DATE(Setup!$B$4,9,1)-WEEKDAY(DATE(Setup!$B$4,9,1))+1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IF(MONTH($J$1+0)=9,DAY($J$1+0),"")</f>
        <v/>
      </c>
      <c r="C5" s="21">
        <f>IF(MONTH($J$1+1)=9,DAY($J$1+1),"")</f>
        <v/>
      </c>
      <c r="D5" s="21">
        <f>IF(MONTH($J$1+2)=9,DAY($J$1+2),"")</f>
        <v/>
      </c>
      <c r="E5" s="21">
        <f>IF(MONTH($J$1+3)=9,DAY($J$1+3),"")</f>
        <v/>
      </c>
      <c r="F5" s="21">
        <f>IF(MONTH($J$1+4)=9,DAY($J$1+4),"")</f>
        <v/>
      </c>
      <c r="G5" s="21">
        <f>IF(MONTH($J$1+5)=9,DAY($J$1+5),"")</f>
        <v/>
      </c>
      <c r="H5" s="21">
        <f>IF(MONTH($J$1+6)=9,DAY($J$1+6),"")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IF(MONTH($J$1+7)=9,DAY($J$1+7),"")</f>
        <v/>
      </c>
      <c r="C9" s="21">
        <f>IF(MONTH($J$1+8)=9,DAY($J$1+8),"")</f>
        <v/>
      </c>
      <c r="D9" s="21">
        <f>IF(MONTH($J$1+9)=9,DAY($J$1+9),"")</f>
        <v/>
      </c>
      <c r="E9" s="21">
        <f>IF(MONTH($J$1+10)=9,DAY($J$1+10),"")</f>
        <v/>
      </c>
      <c r="F9" s="21">
        <f>IF(MONTH($J$1+11)=9,DAY($J$1+11),"")</f>
        <v/>
      </c>
      <c r="G9" s="21">
        <f>IF(MONTH($J$1+12)=9,DAY($J$1+12),"")</f>
        <v/>
      </c>
      <c r="H9" s="21">
        <f>IF(MONTH($J$1+13)=9,DAY($J$1+13),"")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IF(MONTH($J$1+14)=9,DAY($J$1+14),"")</f>
        <v/>
      </c>
      <c r="C13" s="21">
        <f>IF(MONTH($J$1+15)=9,DAY($J$1+15),"")</f>
        <v/>
      </c>
      <c r="D13" s="21">
        <f>IF(MONTH($J$1+16)=9,DAY($J$1+16),"")</f>
        <v/>
      </c>
      <c r="E13" s="21">
        <f>IF(MONTH($J$1+17)=9,DAY($J$1+17),"")</f>
        <v/>
      </c>
      <c r="F13" s="21">
        <f>IF(MONTH($J$1+18)=9,DAY($J$1+18),"")</f>
        <v/>
      </c>
      <c r="G13" s="21">
        <f>IF(MONTH($J$1+19)=9,DAY($J$1+19),"")</f>
        <v/>
      </c>
      <c r="H13" s="21">
        <f>IF(MONTH($J$1+20)=9,DAY($J$1+20),"")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IF(MONTH($J$1+21)=9,DAY($J$1+21),"")</f>
        <v/>
      </c>
      <c r="C17" s="21">
        <f>IF(MONTH($J$1+22)=9,DAY($J$1+22),"")</f>
        <v/>
      </c>
      <c r="D17" s="21">
        <f>IF(MONTH($J$1+23)=9,DAY($J$1+23),"")</f>
        <v/>
      </c>
      <c r="E17" s="21">
        <f>IF(MONTH($J$1+24)=9,DAY($J$1+24),"")</f>
        <v/>
      </c>
      <c r="F17" s="21">
        <f>IF(MONTH($J$1+25)=9,DAY($J$1+25),"")</f>
        <v/>
      </c>
      <c r="G17" s="21">
        <f>IF(MONTH($J$1+26)=9,DAY($J$1+26),"")</f>
        <v/>
      </c>
      <c r="H17" s="21">
        <f>IF(MONTH($J$1+27)=9,DAY($J$1+27),"")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IF(MONTH($J$1+28)=9,DAY($J$1+28),"")</f>
        <v/>
      </c>
      <c r="C21" s="21">
        <f>IF(MONTH($J$1+29)=9,DAY($J$1+29),"")</f>
        <v/>
      </c>
      <c r="D21" s="21">
        <f>IF(MONTH($J$1+30)=9,DAY($J$1+30),"")</f>
        <v/>
      </c>
      <c r="E21" s="21">
        <f>IF(MONTH($J$1+31)=9,DAY($J$1+31),"")</f>
        <v/>
      </c>
      <c r="F21" s="21">
        <f>IF(MONTH($J$1+32)=9,DAY($J$1+32),"")</f>
        <v/>
      </c>
      <c r="G21" s="21">
        <f>IF(MONTH($J$1+33)=9,DAY($J$1+33),"")</f>
        <v/>
      </c>
      <c r="H21" s="21">
        <f>IF(MONTH($J$1+34)=9,DAY($J$1+34),"")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IF(MONTH($J$1+35)=9,DAY($J$1+35),"")</f>
        <v/>
      </c>
      <c r="C25" s="21">
        <f>IF(MONTH($J$1+36)=9,DAY($J$1+36),"")</f>
        <v/>
      </c>
      <c r="D25" s="21">
        <f>IF(MONTH($J$1+37)=9,DAY($J$1+37),"")</f>
        <v/>
      </c>
      <c r="E25" s="21">
        <f>IF(MONTH($J$1+38)=9,DAY($J$1+38),"")</f>
        <v/>
      </c>
      <c r="F25" s="21">
        <f>IF(MONTH($J$1+39)=9,DAY($J$1+39),"")</f>
        <v/>
      </c>
      <c r="G25" s="21">
        <f>IF(MONTH($J$1+40)=9,DAY($J$1+40),"")</f>
        <v/>
      </c>
      <c r="H25" s="21">
        <f>IF(MONTH($J$1+41)=9,DAY($J$1+41),"")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3.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UPPER(TEXT(DATE(Setup!$B$4,10,1),"mmmm yyyy"))&amp;"  -  THROWING CALENDAR"</f>
        <v/>
      </c>
      <c r="J1" s="17">
        <f>DATE(Setup!$B$4,10,1)-WEEKDAY(DATE(Setup!$B$4,10,1))+1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IF(MONTH($J$1+0)=10,DAY($J$1+0),"")</f>
        <v/>
      </c>
      <c r="C5" s="21">
        <f>IF(MONTH($J$1+1)=10,DAY($J$1+1),"")</f>
        <v/>
      </c>
      <c r="D5" s="21">
        <f>IF(MONTH($J$1+2)=10,DAY($J$1+2),"")</f>
        <v/>
      </c>
      <c r="E5" s="21">
        <f>IF(MONTH($J$1+3)=10,DAY($J$1+3),"")</f>
        <v/>
      </c>
      <c r="F5" s="21">
        <f>IF(MONTH($J$1+4)=10,DAY($J$1+4),"")</f>
        <v/>
      </c>
      <c r="G5" s="21">
        <f>IF(MONTH($J$1+5)=10,DAY($J$1+5),"")</f>
        <v/>
      </c>
      <c r="H5" s="21">
        <f>IF(MONTH($J$1+6)=10,DAY($J$1+6),"")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IF(MONTH($J$1+7)=10,DAY($J$1+7),"")</f>
        <v/>
      </c>
      <c r="C9" s="21">
        <f>IF(MONTH($J$1+8)=10,DAY($J$1+8),"")</f>
        <v/>
      </c>
      <c r="D9" s="21">
        <f>IF(MONTH($J$1+9)=10,DAY($J$1+9),"")</f>
        <v/>
      </c>
      <c r="E9" s="21">
        <f>IF(MONTH($J$1+10)=10,DAY($J$1+10),"")</f>
        <v/>
      </c>
      <c r="F9" s="21">
        <f>IF(MONTH($J$1+11)=10,DAY($J$1+11),"")</f>
        <v/>
      </c>
      <c r="G9" s="21">
        <f>IF(MONTH($J$1+12)=10,DAY($J$1+12),"")</f>
        <v/>
      </c>
      <c r="H9" s="21">
        <f>IF(MONTH($J$1+13)=10,DAY($J$1+13),"")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IF(MONTH($J$1+14)=10,DAY($J$1+14),"")</f>
        <v/>
      </c>
      <c r="C13" s="21">
        <f>IF(MONTH($J$1+15)=10,DAY($J$1+15),"")</f>
        <v/>
      </c>
      <c r="D13" s="21">
        <f>IF(MONTH($J$1+16)=10,DAY($J$1+16),"")</f>
        <v/>
      </c>
      <c r="E13" s="21">
        <f>IF(MONTH($J$1+17)=10,DAY($J$1+17),"")</f>
        <v/>
      </c>
      <c r="F13" s="21">
        <f>IF(MONTH($J$1+18)=10,DAY($J$1+18),"")</f>
        <v/>
      </c>
      <c r="G13" s="21">
        <f>IF(MONTH($J$1+19)=10,DAY($J$1+19),"")</f>
        <v/>
      </c>
      <c r="H13" s="21">
        <f>IF(MONTH($J$1+20)=10,DAY($J$1+20),"")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IF(MONTH($J$1+21)=10,DAY($J$1+21),"")</f>
        <v/>
      </c>
      <c r="C17" s="21">
        <f>IF(MONTH($J$1+22)=10,DAY($J$1+22),"")</f>
        <v/>
      </c>
      <c r="D17" s="21">
        <f>IF(MONTH($J$1+23)=10,DAY($J$1+23),"")</f>
        <v/>
      </c>
      <c r="E17" s="21">
        <f>IF(MONTH($J$1+24)=10,DAY($J$1+24),"")</f>
        <v/>
      </c>
      <c r="F17" s="21">
        <f>IF(MONTH($J$1+25)=10,DAY($J$1+25),"")</f>
        <v/>
      </c>
      <c r="G17" s="21">
        <f>IF(MONTH($J$1+26)=10,DAY($J$1+26),"")</f>
        <v/>
      </c>
      <c r="H17" s="21">
        <f>IF(MONTH($J$1+27)=10,DAY($J$1+27),"")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IF(MONTH($J$1+28)=10,DAY($J$1+28),"")</f>
        <v/>
      </c>
      <c r="C21" s="21">
        <f>IF(MONTH($J$1+29)=10,DAY($J$1+29),"")</f>
        <v/>
      </c>
      <c r="D21" s="21">
        <f>IF(MONTH($J$1+30)=10,DAY($J$1+30),"")</f>
        <v/>
      </c>
      <c r="E21" s="21">
        <f>IF(MONTH($J$1+31)=10,DAY($J$1+31),"")</f>
        <v/>
      </c>
      <c r="F21" s="21">
        <f>IF(MONTH($J$1+32)=10,DAY($J$1+32),"")</f>
        <v/>
      </c>
      <c r="G21" s="21">
        <f>IF(MONTH($J$1+33)=10,DAY($J$1+33),"")</f>
        <v/>
      </c>
      <c r="H21" s="21">
        <f>IF(MONTH($J$1+34)=10,DAY($J$1+34),"")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IF(MONTH($J$1+35)=10,DAY($J$1+35),"")</f>
        <v/>
      </c>
      <c r="C25" s="21">
        <f>IF(MONTH($J$1+36)=10,DAY($J$1+36),"")</f>
        <v/>
      </c>
      <c r="D25" s="21">
        <f>IF(MONTH($J$1+37)=10,DAY($J$1+37),"")</f>
        <v/>
      </c>
      <c r="E25" s="21">
        <f>IF(MONTH($J$1+38)=10,DAY($J$1+38),"")</f>
        <v/>
      </c>
      <c r="F25" s="21">
        <f>IF(MONTH($J$1+39)=10,DAY($J$1+39),"")</f>
        <v/>
      </c>
      <c r="G25" s="21">
        <f>IF(MONTH($J$1+40)=10,DAY($J$1+40),"")</f>
        <v/>
      </c>
      <c r="H25" s="21">
        <f>IF(MONTH($J$1+41)=10,DAY($J$1+41),"")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4.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UPPER(TEXT(DATE(Setup!$B$4,11,1),"mmmm yyyy"))&amp;"  -  THROWING CALENDAR"</f>
        <v/>
      </c>
      <c r="J1" s="17">
        <f>DATE(Setup!$B$4,11,1)-WEEKDAY(DATE(Setup!$B$4,11,1))+1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IF(MONTH($J$1+0)=11,DAY($J$1+0),"")</f>
        <v/>
      </c>
      <c r="C5" s="21">
        <f>IF(MONTH($J$1+1)=11,DAY($J$1+1),"")</f>
        <v/>
      </c>
      <c r="D5" s="21">
        <f>IF(MONTH($J$1+2)=11,DAY($J$1+2),"")</f>
        <v/>
      </c>
      <c r="E5" s="21">
        <f>IF(MONTH($J$1+3)=11,DAY($J$1+3),"")</f>
        <v/>
      </c>
      <c r="F5" s="21">
        <f>IF(MONTH($J$1+4)=11,DAY($J$1+4),"")</f>
        <v/>
      </c>
      <c r="G5" s="21">
        <f>IF(MONTH($J$1+5)=11,DAY($J$1+5),"")</f>
        <v/>
      </c>
      <c r="H5" s="21">
        <f>IF(MONTH($J$1+6)=11,DAY($J$1+6),"")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IF(MONTH($J$1+7)=11,DAY($J$1+7),"")</f>
        <v/>
      </c>
      <c r="C9" s="21">
        <f>IF(MONTH($J$1+8)=11,DAY($J$1+8),"")</f>
        <v/>
      </c>
      <c r="D9" s="21">
        <f>IF(MONTH($J$1+9)=11,DAY($J$1+9),"")</f>
        <v/>
      </c>
      <c r="E9" s="21">
        <f>IF(MONTH($J$1+10)=11,DAY($J$1+10),"")</f>
        <v/>
      </c>
      <c r="F9" s="21">
        <f>IF(MONTH($J$1+11)=11,DAY($J$1+11),"")</f>
        <v/>
      </c>
      <c r="G9" s="21">
        <f>IF(MONTH($J$1+12)=11,DAY($J$1+12),"")</f>
        <v/>
      </c>
      <c r="H9" s="21">
        <f>IF(MONTH($J$1+13)=11,DAY($J$1+13),"")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IF(MONTH($J$1+14)=11,DAY($J$1+14),"")</f>
        <v/>
      </c>
      <c r="C13" s="21">
        <f>IF(MONTH($J$1+15)=11,DAY($J$1+15),"")</f>
        <v/>
      </c>
      <c r="D13" s="21">
        <f>IF(MONTH($J$1+16)=11,DAY($J$1+16),"")</f>
        <v/>
      </c>
      <c r="E13" s="21">
        <f>IF(MONTH($J$1+17)=11,DAY($J$1+17),"")</f>
        <v/>
      </c>
      <c r="F13" s="21">
        <f>IF(MONTH($J$1+18)=11,DAY($J$1+18),"")</f>
        <v/>
      </c>
      <c r="G13" s="21">
        <f>IF(MONTH($J$1+19)=11,DAY($J$1+19),"")</f>
        <v/>
      </c>
      <c r="H13" s="21">
        <f>IF(MONTH($J$1+20)=11,DAY($J$1+20),"")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IF(MONTH($J$1+21)=11,DAY($J$1+21),"")</f>
        <v/>
      </c>
      <c r="C17" s="21">
        <f>IF(MONTH($J$1+22)=11,DAY($J$1+22),"")</f>
        <v/>
      </c>
      <c r="D17" s="21">
        <f>IF(MONTH($J$1+23)=11,DAY($J$1+23),"")</f>
        <v/>
      </c>
      <c r="E17" s="21">
        <f>IF(MONTH($J$1+24)=11,DAY($J$1+24),"")</f>
        <v/>
      </c>
      <c r="F17" s="21">
        <f>IF(MONTH($J$1+25)=11,DAY($J$1+25),"")</f>
        <v/>
      </c>
      <c r="G17" s="21">
        <f>IF(MONTH($J$1+26)=11,DAY($J$1+26),"")</f>
        <v/>
      </c>
      <c r="H17" s="21">
        <f>IF(MONTH($J$1+27)=11,DAY($J$1+27),"")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IF(MONTH($J$1+28)=11,DAY($J$1+28),"")</f>
        <v/>
      </c>
      <c r="C21" s="21">
        <f>IF(MONTH($J$1+29)=11,DAY($J$1+29),"")</f>
        <v/>
      </c>
      <c r="D21" s="21">
        <f>IF(MONTH($J$1+30)=11,DAY($J$1+30),"")</f>
        <v/>
      </c>
      <c r="E21" s="21">
        <f>IF(MONTH($J$1+31)=11,DAY($J$1+31),"")</f>
        <v/>
      </c>
      <c r="F21" s="21">
        <f>IF(MONTH($J$1+32)=11,DAY($J$1+32),"")</f>
        <v/>
      </c>
      <c r="G21" s="21">
        <f>IF(MONTH($J$1+33)=11,DAY($J$1+33),"")</f>
        <v/>
      </c>
      <c r="H21" s="21">
        <f>IF(MONTH($J$1+34)=11,DAY($J$1+34),"")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IF(MONTH($J$1+35)=11,DAY($J$1+35),"")</f>
        <v/>
      </c>
      <c r="C25" s="21">
        <f>IF(MONTH($J$1+36)=11,DAY($J$1+36),"")</f>
        <v/>
      </c>
      <c r="D25" s="21">
        <f>IF(MONTH($J$1+37)=11,DAY($J$1+37),"")</f>
        <v/>
      </c>
      <c r="E25" s="21">
        <f>IF(MONTH($J$1+38)=11,DAY($J$1+38),"")</f>
        <v/>
      </c>
      <c r="F25" s="21">
        <f>IF(MONTH($J$1+39)=11,DAY($J$1+39),"")</f>
        <v/>
      </c>
      <c r="G25" s="21">
        <f>IF(MONTH($J$1+40)=11,DAY($J$1+40),"")</f>
        <v/>
      </c>
      <c r="H25" s="21">
        <f>IF(MONTH($J$1+41)=11,DAY($J$1+41),"")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xl/worksheets/sheet15.xml><?xml version="1.0" encoding="utf-8"?>
<worksheet xmlns="http://schemas.openxmlformats.org/spreadsheetml/2006/main">
  <sheetPr>
    <outlinePr summaryBelow="1" summaryRight="1"/>
    <pageSetUpPr fitToPage="1"/>
  </sheetPr>
  <dimension ref="B1:J37"/>
  <sheetViews>
    <sheetView showGridLines="0" workbookViewId="0">
      <selection activeCell="A1" sqref="A1"/>
    </sheetView>
  </sheetViews>
  <sheetFormatPr baseColWidth="8" defaultRowHeight="15"/>
  <cols>
    <col width="2" customWidth="1" min="1" max="1"/>
    <col width="21" customWidth="1" min="2" max="2"/>
    <col width="21" customWidth="1" min="3" max="3"/>
    <col width="21" customWidth="1" min="4" max="4"/>
    <col width="21" customWidth="1" min="5" max="5"/>
    <col width="21" customWidth="1" min="6" max="6"/>
    <col width="21" customWidth="1" min="7" max="7"/>
    <col width="21" customWidth="1" min="8" max="8"/>
    <col hidden="1" width="13" customWidth="1" min="10" max="10"/>
  </cols>
  <sheetData>
    <row r="1" ht="26" customHeight="1">
      <c r="B1" s="16">
        <f>UPPER(TEXT(DATE(Setup!$B$4,12,1),"mmmm yyyy"))&amp;"  -  THROWING CALENDAR"</f>
        <v/>
      </c>
      <c r="J1" s="17">
        <f>DATE(Setup!$B$4,12,1)-WEEKDAY(DATE(Setup!$B$4,12,1))+1</f>
        <v/>
      </c>
    </row>
    <row r="2">
      <c r="B2" s="18">
        <f>"Client: "&amp;Setup!$B$3</f>
        <v/>
      </c>
      <c r="F2" s="19">
        <f>"Coach: "&amp;Setup!$B$5</f>
        <v/>
      </c>
    </row>
    <row r="4">
      <c r="B4" s="20" t="inlineStr">
        <is>
          <t>Sunday</t>
        </is>
      </c>
      <c r="C4" s="20" t="inlineStr">
        <is>
          <t>Monday</t>
        </is>
      </c>
      <c r="D4" s="20" t="inlineStr">
        <is>
          <t>Tuesday</t>
        </is>
      </c>
      <c r="E4" s="20" t="inlineStr">
        <is>
          <t>Wednesday</t>
        </is>
      </c>
      <c r="F4" s="20" t="inlineStr">
        <is>
          <t>Thursday</t>
        </is>
      </c>
      <c r="G4" s="20" t="inlineStr">
        <is>
          <t>Friday</t>
        </is>
      </c>
      <c r="H4" s="20" t="inlineStr">
        <is>
          <t>Saturday</t>
        </is>
      </c>
    </row>
    <row r="5">
      <c r="B5" s="21">
        <f>IF(MONTH($J$1+0)=12,DAY($J$1+0),"")</f>
        <v/>
      </c>
      <c r="C5" s="21">
        <f>IF(MONTH($J$1+1)=12,DAY($J$1+1),"")</f>
        <v/>
      </c>
      <c r="D5" s="21">
        <f>IF(MONTH($J$1+2)=12,DAY($J$1+2),"")</f>
        <v/>
      </c>
      <c r="E5" s="21">
        <f>IF(MONTH($J$1+3)=12,DAY($J$1+3),"")</f>
        <v/>
      </c>
      <c r="F5" s="21">
        <f>IF(MONTH($J$1+4)=12,DAY($J$1+4),"")</f>
        <v/>
      </c>
      <c r="G5" s="21">
        <f>IF(MONTH($J$1+5)=12,DAY($J$1+5),"")</f>
        <v/>
      </c>
      <c r="H5" s="21">
        <f>IF(MONTH($J$1+6)=12,DAY($J$1+6),"")</f>
        <v/>
      </c>
    </row>
    <row r="6" ht="17" customHeight="1">
      <c r="B6" s="22" t="n"/>
      <c r="C6" s="22" t="n"/>
      <c r="D6" s="22" t="n"/>
      <c r="E6" s="22" t="n"/>
      <c r="F6" s="22" t="n"/>
      <c r="G6" s="22" t="n"/>
      <c r="H6" s="22" t="n"/>
    </row>
    <row r="7" ht="17" customHeight="1">
      <c r="B7" s="22" t="n"/>
      <c r="C7" s="22" t="n"/>
      <c r="D7" s="22" t="n"/>
      <c r="E7" s="22" t="n"/>
      <c r="F7" s="22" t="n"/>
      <c r="G7" s="22" t="n"/>
      <c r="H7" s="22" t="n"/>
    </row>
    <row r="8" ht="17" customHeight="1">
      <c r="B8" s="23" t="n"/>
      <c r="C8" s="23" t="n"/>
      <c r="D8" s="23" t="n"/>
      <c r="E8" s="23" t="n"/>
      <c r="F8" s="23" t="n"/>
      <c r="G8" s="23" t="n"/>
      <c r="H8" s="23" t="n"/>
    </row>
    <row r="9">
      <c r="B9" s="21">
        <f>IF(MONTH($J$1+7)=12,DAY($J$1+7),"")</f>
        <v/>
      </c>
      <c r="C9" s="21">
        <f>IF(MONTH($J$1+8)=12,DAY($J$1+8),"")</f>
        <v/>
      </c>
      <c r="D9" s="21">
        <f>IF(MONTH($J$1+9)=12,DAY($J$1+9),"")</f>
        <v/>
      </c>
      <c r="E9" s="21">
        <f>IF(MONTH($J$1+10)=12,DAY($J$1+10),"")</f>
        <v/>
      </c>
      <c r="F9" s="21">
        <f>IF(MONTH($J$1+11)=12,DAY($J$1+11),"")</f>
        <v/>
      </c>
      <c r="G9" s="21">
        <f>IF(MONTH($J$1+12)=12,DAY($J$1+12),"")</f>
        <v/>
      </c>
      <c r="H9" s="21">
        <f>IF(MONTH($J$1+13)=12,DAY($J$1+13),"")</f>
        <v/>
      </c>
    </row>
    <row r="10" ht="17" customHeight="1">
      <c r="B10" s="22" t="n"/>
      <c r="C10" s="22" t="n"/>
      <c r="D10" s="22" t="n"/>
      <c r="E10" s="22" t="n"/>
      <c r="F10" s="22" t="n"/>
      <c r="G10" s="22" t="n"/>
      <c r="H10" s="22" t="n"/>
    </row>
    <row r="11" ht="17" customHeight="1">
      <c r="B11" s="22" t="n"/>
      <c r="C11" s="22" t="n"/>
      <c r="D11" s="22" t="n"/>
      <c r="E11" s="22" t="n"/>
      <c r="F11" s="22" t="n"/>
      <c r="G11" s="22" t="n"/>
      <c r="H11" s="22" t="n"/>
    </row>
    <row r="12" ht="17" customHeight="1">
      <c r="B12" s="23" t="n"/>
      <c r="C12" s="23" t="n"/>
      <c r="D12" s="23" t="n"/>
      <c r="E12" s="23" t="n"/>
      <c r="F12" s="23" t="n"/>
      <c r="G12" s="23" t="n"/>
      <c r="H12" s="23" t="n"/>
    </row>
    <row r="13">
      <c r="B13" s="21">
        <f>IF(MONTH($J$1+14)=12,DAY($J$1+14),"")</f>
        <v/>
      </c>
      <c r="C13" s="21">
        <f>IF(MONTH($J$1+15)=12,DAY($J$1+15),"")</f>
        <v/>
      </c>
      <c r="D13" s="21">
        <f>IF(MONTH($J$1+16)=12,DAY($J$1+16),"")</f>
        <v/>
      </c>
      <c r="E13" s="21">
        <f>IF(MONTH($J$1+17)=12,DAY($J$1+17),"")</f>
        <v/>
      </c>
      <c r="F13" s="21">
        <f>IF(MONTH($J$1+18)=12,DAY($J$1+18),"")</f>
        <v/>
      </c>
      <c r="G13" s="21">
        <f>IF(MONTH($J$1+19)=12,DAY($J$1+19),"")</f>
        <v/>
      </c>
      <c r="H13" s="21">
        <f>IF(MONTH($J$1+20)=12,DAY($J$1+20),"")</f>
        <v/>
      </c>
    </row>
    <row r="14" ht="17" customHeight="1">
      <c r="B14" s="22" t="n"/>
      <c r="C14" s="22" t="n"/>
      <c r="D14" s="22" t="n"/>
      <c r="E14" s="22" t="n"/>
      <c r="F14" s="22" t="n"/>
      <c r="G14" s="22" t="n"/>
      <c r="H14" s="22" t="n"/>
    </row>
    <row r="15" ht="17" customHeight="1">
      <c r="B15" s="22" t="n"/>
      <c r="C15" s="22" t="n"/>
      <c r="D15" s="22" t="n"/>
      <c r="E15" s="22" t="n"/>
      <c r="F15" s="22" t="n"/>
      <c r="G15" s="22" t="n"/>
      <c r="H15" s="22" t="n"/>
    </row>
    <row r="16" ht="17" customHeight="1">
      <c r="B16" s="23" t="n"/>
      <c r="C16" s="23" t="n"/>
      <c r="D16" s="23" t="n"/>
      <c r="E16" s="23" t="n"/>
      <c r="F16" s="23" t="n"/>
      <c r="G16" s="23" t="n"/>
      <c r="H16" s="23" t="n"/>
    </row>
    <row r="17">
      <c r="B17" s="21">
        <f>IF(MONTH($J$1+21)=12,DAY($J$1+21),"")</f>
        <v/>
      </c>
      <c r="C17" s="21">
        <f>IF(MONTH($J$1+22)=12,DAY($J$1+22),"")</f>
        <v/>
      </c>
      <c r="D17" s="21">
        <f>IF(MONTH($J$1+23)=12,DAY($J$1+23),"")</f>
        <v/>
      </c>
      <c r="E17" s="21">
        <f>IF(MONTH($J$1+24)=12,DAY($J$1+24),"")</f>
        <v/>
      </c>
      <c r="F17" s="21">
        <f>IF(MONTH($J$1+25)=12,DAY($J$1+25),"")</f>
        <v/>
      </c>
      <c r="G17" s="21">
        <f>IF(MONTH($J$1+26)=12,DAY($J$1+26),"")</f>
        <v/>
      </c>
      <c r="H17" s="21">
        <f>IF(MONTH($J$1+27)=12,DAY($J$1+27),"")</f>
        <v/>
      </c>
    </row>
    <row r="18" ht="17" customHeight="1">
      <c r="B18" s="22" t="n"/>
      <c r="C18" s="22" t="n"/>
      <c r="D18" s="22" t="n"/>
      <c r="E18" s="22" t="n"/>
      <c r="F18" s="22" t="n"/>
      <c r="G18" s="22" t="n"/>
      <c r="H18" s="22" t="n"/>
    </row>
    <row r="19" ht="17" customHeight="1">
      <c r="B19" s="22" t="n"/>
      <c r="C19" s="22" t="n"/>
      <c r="D19" s="22" t="n"/>
      <c r="E19" s="22" t="n"/>
      <c r="F19" s="22" t="n"/>
      <c r="G19" s="22" t="n"/>
      <c r="H19" s="22" t="n"/>
    </row>
    <row r="20" ht="17" customHeight="1">
      <c r="B20" s="23" t="n"/>
      <c r="C20" s="23" t="n"/>
      <c r="D20" s="23" t="n"/>
      <c r="E20" s="23" t="n"/>
      <c r="F20" s="23" t="n"/>
      <c r="G20" s="23" t="n"/>
      <c r="H20" s="23" t="n"/>
    </row>
    <row r="21">
      <c r="B21" s="21">
        <f>IF(MONTH($J$1+28)=12,DAY($J$1+28),"")</f>
        <v/>
      </c>
      <c r="C21" s="21">
        <f>IF(MONTH($J$1+29)=12,DAY($J$1+29),"")</f>
        <v/>
      </c>
      <c r="D21" s="21">
        <f>IF(MONTH($J$1+30)=12,DAY($J$1+30),"")</f>
        <v/>
      </c>
      <c r="E21" s="21">
        <f>IF(MONTH($J$1+31)=12,DAY($J$1+31),"")</f>
        <v/>
      </c>
      <c r="F21" s="21">
        <f>IF(MONTH($J$1+32)=12,DAY($J$1+32),"")</f>
        <v/>
      </c>
      <c r="G21" s="21">
        <f>IF(MONTH($J$1+33)=12,DAY($J$1+33),"")</f>
        <v/>
      </c>
      <c r="H21" s="21">
        <f>IF(MONTH($J$1+34)=12,DAY($J$1+34),"")</f>
        <v/>
      </c>
    </row>
    <row r="22" ht="17" customHeight="1">
      <c r="B22" s="22" t="n"/>
      <c r="C22" s="22" t="n"/>
      <c r="D22" s="22" t="n"/>
      <c r="E22" s="22" t="n"/>
      <c r="F22" s="22" t="n"/>
      <c r="G22" s="22" t="n"/>
      <c r="H22" s="22" t="n"/>
    </row>
    <row r="23" ht="17" customHeight="1">
      <c r="B23" s="22" t="n"/>
      <c r="C23" s="22" t="n"/>
      <c r="D23" s="22" t="n"/>
      <c r="E23" s="22" t="n"/>
      <c r="F23" s="22" t="n"/>
      <c r="G23" s="22" t="n"/>
      <c r="H23" s="22" t="n"/>
    </row>
    <row r="24" ht="17" customHeight="1">
      <c r="B24" s="23" t="n"/>
      <c r="C24" s="23" t="n"/>
      <c r="D24" s="23" t="n"/>
      <c r="E24" s="23" t="n"/>
      <c r="F24" s="23" t="n"/>
      <c r="G24" s="23" t="n"/>
      <c r="H24" s="23" t="n"/>
    </row>
    <row r="25">
      <c r="B25" s="21">
        <f>IF(MONTH($J$1+35)=12,DAY($J$1+35),"")</f>
        <v/>
      </c>
      <c r="C25" s="21">
        <f>IF(MONTH($J$1+36)=12,DAY($J$1+36),"")</f>
        <v/>
      </c>
      <c r="D25" s="21">
        <f>IF(MONTH($J$1+37)=12,DAY($J$1+37),"")</f>
        <v/>
      </c>
      <c r="E25" s="21">
        <f>IF(MONTH($J$1+38)=12,DAY($J$1+38),"")</f>
        <v/>
      </c>
      <c r="F25" s="21">
        <f>IF(MONTH($J$1+39)=12,DAY($J$1+39),"")</f>
        <v/>
      </c>
      <c r="G25" s="21">
        <f>IF(MONTH($J$1+40)=12,DAY($J$1+40),"")</f>
        <v/>
      </c>
      <c r="H25" s="21">
        <f>IF(MONTH($J$1+41)=12,DAY($J$1+41),"")</f>
        <v/>
      </c>
    </row>
    <row r="26" ht="17" customHeight="1">
      <c r="B26" s="22" t="n"/>
      <c r="C26" s="22" t="n"/>
      <c r="D26" s="22" t="n"/>
      <c r="E26" s="22" t="n"/>
      <c r="F26" s="22" t="n"/>
      <c r="G26" s="22" t="n"/>
      <c r="H26" s="22" t="n"/>
    </row>
    <row r="27" ht="17" customHeight="1">
      <c r="B27" s="22" t="n"/>
      <c r="C27" s="22" t="n"/>
      <c r="D27" s="22" t="n"/>
      <c r="E27" s="22" t="n"/>
      <c r="F27" s="22" t="n"/>
      <c r="G27" s="22" t="n"/>
      <c r="H27" s="22" t="n"/>
    </row>
    <row r="28" ht="17" customHeight="1">
      <c r="B28" s="23" t="n"/>
      <c r="C28" s="23" t="n"/>
      <c r="D28" s="23" t="n"/>
      <c r="E28" s="23" t="n"/>
      <c r="F28" s="23" t="n"/>
      <c r="G28" s="23" t="n"/>
      <c r="H28" s="23" t="n"/>
    </row>
    <row r="30">
      <c r="B30" s="6" t="inlineStr">
        <is>
          <t>Monthly Goals / Notes</t>
        </is>
      </c>
    </row>
    <row r="31">
      <c r="B31" s="24" t="n"/>
      <c r="C31" s="25" t="n"/>
      <c r="D31" s="25" t="n"/>
      <c r="E31" s="25" t="n"/>
      <c r="F31" s="25" t="n"/>
      <c r="G31" s="25" t="n"/>
      <c r="H31" s="25" t="n"/>
    </row>
    <row r="32">
      <c r="B32" s="25" t="n"/>
      <c r="C32" s="25" t="n"/>
      <c r="D32" s="25" t="n"/>
      <c r="E32" s="25" t="n"/>
      <c r="F32" s="25" t="n"/>
      <c r="G32" s="25" t="n"/>
      <c r="H32" s="25" t="n"/>
    </row>
    <row r="33">
      <c r="B33" s="25" t="n"/>
      <c r="C33" s="25" t="n"/>
      <c r="D33" s="25" t="n"/>
      <c r="E33" s="25" t="n"/>
      <c r="F33" s="25" t="n"/>
      <c r="G33" s="25" t="n"/>
      <c r="H33" s="25" t="n"/>
    </row>
    <row r="34">
      <c r="B34" s="25" t="n"/>
      <c r="C34" s="25" t="n"/>
      <c r="D34" s="25" t="n"/>
      <c r="E34" s="25" t="n"/>
      <c r="F34" s="25" t="n"/>
      <c r="G34" s="25" t="n"/>
      <c r="H34" s="25" t="n"/>
    </row>
    <row r="36">
      <c r="B36" s="26" t="inlineStr">
        <is>
          <t>Key:</t>
        </is>
      </c>
    </row>
    <row r="37">
      <c r="B37" s="27" t="inlineStr">
        <is>
          <t>Throwing Day</t>
        </is>
      </c>
      <c r="C37" s="28" t="inlineStr">
        <is>
          <t>Bullpen</t>
        </is>
      </c>
      <c r="D37" s="29" t="inlineStr">
        <is>
          <t>Long Toss</t>
        </is>
      </c>
      <c r="E37" s="30" t="inlineStr">
        <is>
          <t>Live / Game</t>
        </is>
      </c>
      <c r="F37" s="31" t="inlineStr">
        <is>
          <t>Arm Care / Recovery</t>
        </is>
      </c>
      <c r="G37" s="32" t="inlineStr">
        <is>
          <t>Lifting</t>
        </is>
      </c>
      <c r="H37" s="33" t="inlineStr">
        <is>
          <t>Rest Day</t>
        </is>
      </c>
    </row>
  </sheetData>
  <mergeCells count="5">
    <mergeCell ref="B31:H34"/>
    <mergeCell ref="B1:H1"/>
    <mergeCell ref="B30:H30"/>
    <mergeCell ref="F2:H2"/>
    <mergeCell ref="B2:E2"/>
  </mergeCells>
  <conditionalFormatting sqref="B6:H8">
    <cfRule type="expression" priority="1" dxfId="0">
      <formula>B$6="Throwing Day"</formula>
    </cfRule>
    <cfRule type="expression" priority="2" dxfId="1">
      <formula>B$6="Bullpen"</formula>
    </cfRule>
    <cfRule type="expression" priority="3" dxfId="2">
      <formula>B$6="Long Toss"</formula>
    </cfRule>
    <cfRule type="expression" priority="4" dxfId="3">
      <formula>B$6="Live / Game"</formula>
    </cfRule>
    <cfRule type="expression" priority="5" dxfId="4">
      <formula>B$6="Arm Care / Recovery"</formula>
    </cfRule>
    <cfRule type="expression" priority="6" dxfId="5">
      <formula>B$6="Lifting"</formula>
    </cfRule>
    <cfRule type="expression" priority="7" dxfId="6">
      <formula>B$6="Rest Day"</formula>
    </cfRule>
  </conditionalFormatting>
  <conditionalFormatting sqref="B10:H12">
    <cfRule type="expression" priority="8" dxfId="0">
      <formula>B$10="Throwing Day"</formula>
    </cfRule>
    <cfRule type="expression" priority="9" dxfId="1">
      <formula>B$10="Bullpen"</formula>
    </cfRule>
    <cfRule type="expression" priority="10" dxfId="2">
      <formula>B$10="Long Toss"</formula>
    </cfRule>
    <cfRule type="expression" priority="11" dxfId="3">
      <formula>B$10="Live / Game"</formula>
    </cfRule>
    <cfRule type="expression" priority="12" dxfId="4">
      <formula>B$10="Arm Care / Recovery"</formula>
    </cfRule>
    <cfRule type="expression" priority="13" dxfId="5">
      <formula>B$10="Lifting"</formula>
    </cfRule>
    <cfRule type="expression" priority="14" dxfId="6">
      <formula>B$10="Rest Day"</formula>
    </cfRule>
  </conditionalFormatting>
  <conditionalFormatting sqref="B14:H16">
    <cfRule type="expression" priority="15" dxfId="0">
      <formula>B$14="Throwing Day"</formula>
    </cfRule>
    <cfRule type="expression" priority="16" dxfId="1">
      <formula>B$14="Bullpen"</formula>
    </cfRule>
    <cfRule type="expression" priority="17" dxfId="2">
      <formula>B$14="Long Toss"</formula>
    </cfRule>
    <cfRule type="expression" priority="18" dxfId="3">
      <formula>B$14="Live / Game"</formula>
    </cfRule>
    <cfRule type="expression" priority="19" dxfId="4">
      <formula>B$14="Arm Care / Recovery"</formula>
    </cfRule>
    <cfRule type="expression" priority="20" dxfId="5">
      <formula>B$14="Lifting"</formula>
    </cfRule>
    <cfRule type="expression" priority="21" dxfId="6">
      <formula>B$14="Rest Day"</formula>
    </cfRule>
  </conditionalFormatting>
  <conditionalFormatting sqref="B18:H20">
    <cfRule type="expression" priority="22" dxfId="0">
      <formula>B$18="Throwing Day"</formula>
    </cfRule>
    <cfRule type="expression" priority="23" dxfId="1">
      <formula>B$18="Bullpen"</formula>
    </cfRule>
    <cfRule type="expression" priority="24" dxfId="2">
      <formula>B$18="Long Toss"</formula>
    </cfRule>
    <cfRule type="expression" priority="25" dxfId="3">
      <formula>B$18="Live / Game"</formula>
    </cfRule>
    <cfRule type="expression" priority="26" dxfId="4">
      <formula>B$18="Arm Care / Recovery"</formula>
    </cfRule>
    <cfRule type="expression" priority="27" dxfId="5">
      <formula>B$18="Lifting"</formula>
    </cfRule>
    <cfRule type="expression" priority="28" dxfId="6">
      <formula>B$18="Rest Day"</formula>
    </cfRule>
  </conditionalFormatting>
  <conditionalFormatting sqref="B22:H24">
    <cfRule type="expression" priority="29" dxfId="0">
      <formula>B$22="Throwing Day"</formula>
    </cfRule>
    <cfRule type="expression" priority="30" dxfId="1">
      <formula>B$22="Bullpen"</formula>
    </cfRule>
    <cfRule type="expression" priority="31" dxfId="2">
      <formula>B$22="Long Toss"</formula>
    </cfRule>
    <cfRule type="expression" priority="32" dxfId="3">
      <formula>B$22="Live / Game"</formula>
    </cfRule>
    <cfRule type="expression" priority="33" dxfId="4">
      <formula>B$22="Arm Care / Recovery"</formula>
    </cfRule>
    <cfRule type="expression" priority="34" dxfId="5">
      <formula>B$22="Lifting"</formula>
    </cfRule>
    <cfRule type="expression" priority="35" dxfId="6">
      <formula>B$22="Rest Day"</formula>
    </cfRule>
  </conditionalFormatting>
  <conditionalFormatting sqref="B26:H28">
    <cfRule type="expression" priority="36" dxfId="0">
      <formula>B$26="Throwing Day"</formula>
    </cfRule>
    <cfRule type="expression" priority="37" dxfId="1">
      <formula>B$26="Bullpen"</formula>
    </cfRule>
    <cfRule type="expression" priority="38" dxfId="2">
      <formula>B$26="Long Toss"</formula>
    </cfRule>
    <cfRule type="expression" priority="39" dxfId="3">
      <formula>B$26="Live / Game"</formula>
    </cfRule>
    <cfRule type="expression" priority="40" dxfId="4">
      <formula>B$26="Arm Care / Recovery"</formula>
    </cfRule>
    <cfRule type="expression" priority="41" dxfId="5">
      <formula>B$26="Lifting"</formula>
    </cfRule>
    <cfRule type="expression" priority="42" dxfId="6">
      <formula>B$26="Rest Day"</formula>
    </cfRule>
  </conditionalFormatting>
  <dataValidations count="2">
    <dataValidation sqref="B6 B10 B14 B18 B22 B26 C6 C10 C14 C18 C22 C26 D6 D10 D14 D18 D22 D26 E6 E10 E14 E18 E22 E26 F6 F10 F14 F18 F22 F26 G6 G10 G14 G18 G22 G26 H6 H10 H14 H18 H22 H26" showDropDown="0" showInputMessage="0" showErrorMessage="0" allowBlank="1" type="list">
      <formula1>=Lists!$A$2:$A$30</formula1>
    </dataValidation>
    <dataValidation sqref="B7 B8 B11 B12 B15 B16 B19 B20 B23 B24 B27 B28 C7 C8 C11 C12 C15 C16 C19 C20 C23 C24 C27 C28 D7 D8 D11 D12 D15 D16 D19 D20 D23 D24 D27 D28 E7 E8 E11 E12 E15 E16 E19 E20 E23 E24 E27 E28 F7 F8 F11 F12 F15 F16 F19 F20 F23 F24 F27 F28 G7 G8 G11 G12 G15 G16 G19 G20 G23 G24 G27 G28 H7 H8 H11 H12 H15 H16 H19 H20 H23 H24 H27 H28" showDropDown="0" showInputMessage="0" showErrorMessage="0" allowBlank="1" type="list">
      <formula1>='Drill Library'!$A$2:$A$200</formula1>
    </dataValidation>
  </dataValidations>
  <pageMargins left="0.4" right="0.4" top="0.4" bottom="0.4"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2026-10-05T01:28:15Z</dcterms:created>
  <dcterms:modified xsi:type="dcterms:W3CDTF">2026-10-05T01:28:15Z</dcterms:modified>
</cp:coreProperties>
</file>